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Expanded Loads" sheetId="1" r:id="rId1"/>
    <sheet name="Expanded Additional Loads" sheetId="2" r:id="rId2"/>
    <sheet name="Trucks Info" sheetId="3" r:id="rId3"/>
    <sheet name="Shift Constraints" sheetId="5" r:id="rId4"/>
    <sheet name="Truck Validation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<sst xmlns="http://schemas.openxmlformats.org/spreadsheetml/2006/main" count="2510" uniqueCount="559">
  <si>
    <t>Load ID</t>
  </si>
  <si>
    <t>Load Type</t>
  </si>
  <si>
    <t>Description</t>
  </si>
  <si>
    <t>Category</t>
  </si>
  <si>
    <t>Total Loads in Task</t>
  </si>
  <si>
    <t>Weight (tons)</t>
  </si>
  <si>
    <t>Dimensions (L x W x H)</t>
  </si>
  <si>
    <t>Priority</t>
  </si>
  <si>
    <t>Truck Type(s)</t>
  </si>
  <si>
    <t>Critical Lift</t>
  </si>
  <si>
    <t>Avg Rig Down Time</t>
  </si>
  <si>
    <t>Avg Rig Up Time</t>
  </si>
  <si>
    <t>Sequential Predecessor</t>
  </si>
  <si>
    <t>Rig Down Predecessor(s)</t>
  </si>
  <si>
    <t>Rig Up Predecessor(s)</t>
  </si>
  <si>
    <t>Minimum Crew (Rig Down / Rig Up)</t>
  </si>
  <si>
    <t>Optimal Crew (Rig Down / Rig Up)</t>
  </si>
  <si>
    <t>Truck Validation Note</t>
  </si>
  <si>
    <t>RL-01-L1</t>
  </si>
  <si>
    <t>Rig</t>
  </si>
  <si>
    <t>Sub-base &amp; Substructure</t>
  </si>
  <si>
    <t>Derrick &amp; Drill Floor</t>
  </si>
  <si>
    <t>14.55 x 3.1 x 3.5 m</t>
  </si>
  <si>
    <t xml:space="preserve">Heavy Hauler (Double Axle) </t>
  </si>
  <si>
    <t>Yes</t>
  </si>
  <si>
    <t>6.0 ± 2.0 hr/load</t>
  </si>
  <si>
    <t>8.0 ± 3.0 hr/load</t>
  </si>
  <si>
    <t>—</t>
  </si>
  <si>
    <t>RL-02-L8, RL-03-L2, RL-04-L2, RL-05-L3, RL-06-L2</t>
  </si>
  <si>
    <t>RD: Driller 1; Asst. Driller 1; Floormen 4; Riggers 2; Crane Operators 2; Mechanic 1 | RU: Driller 1; Asst. Driller 1; Floormen 4; Riggers 3; Crane Operators 2; Mechanic 1</t>
  </si>
  <si>
    <t>RD: Driller 1; Asst. Driller 1; Floormen 6; Riggers 3; Crane Operators 2; Mechanic 2; Welder 1 | RU: Driller 1; Asst. Driller 1; Floormen 6; Riggers 4; Crane Operators 3; Mechanic 2; Welder 1</t>
  </si>
  <si>
    <t>OK — validated</t>
  </si>
  <si>
    <t>RL-01-L2</t>
  </si>
  <si>
    <t>RL-01-L3</t>
  </si>
  <si>
    <t>RL-01-L4</t>
  </si>
  <si>
    <t>RL-01-L5</t>
  </si>
  <si>
    <t>RL-01-L6</t>
  </si>
  <si>
    <t>RL-02-L1</t>
  </si>
  <si>
    <t>Mast</t>
  </si>
  <si>
    <t>20.00 x 3.2 x 2.16 m</t>
  </si>
  <si>
    <t xml:space="preserve"> Heavy Hauler (Double Axle) </t>
  </si>
  <si>
    <t>8.0 ± 2.0 hr/load</t>
  </si>
  <si>
    <t>10.0 ± 3.0 hr/load</t>
  </si>
  <si>
    <t>RL-03-L2, RL-17-L2, RL-18-L1, RL-19-L1, RL-20-L1, RL-21-L2, RL-23-L1, RL-36-L2</t>
  </si>
  <si>
    <t>RL-01-L6, RL-03-L2, RL-05-L3, RL-06-L2, RL-19-L1, RL-21-L2, RL-39-L1</t>
  </si>
  <si>
    <t>RL-02-L2</t>
  </si>
  <si>
    <t>RL-02-L3</t>
  </si>
  <si>
    <t>RL-02-L4</t>
  </si>
  <si>
    <t>RL-02-L5</t>
  </si>
  <si>
    <t>RL-02-L6</t>
  </si>
  <si>
    <t>RL-02-L7</t>
  </si>
  <si>
    <t>RL-02-L8</t>
  </si>
  <si>
    <t>RL-03-L1</t>
  </si>
  <si>
    <t>Set-back</t>
  </si>
  <si>
    <t>6.00 x 3.00 x 2.00 m</t>
  </si>
  <si>
    <t>Low-bed (Double Axle)</t>
  </si>
  <si>
    <t>3.0 ± 1.0 hr/load</t>
  </si>
  <si>
    <t>4.0 ± 1.0 hr/load</t>
  </si>
  <si>
    <t>RL-17-L2, RL-18-L1, RL-19-L1, RL-20-L1, RL-21-L2</t>
  </si>
  <si>
    <t>RL-03-L2</t>
  </si>
  <si>
    <t>RL-04-L1</t>
  </si>
  <si>
    <t>Draworks spreaders</t>
  </si>
  <si>
    <t>9.00 x 1.50 x 1.50 m</t>
  </si>
  <si>
    <t xml:space="preserve">Flat-bed (Single Axle) </t>
  </si>
  <si>
    <t>No</t>
  </si>
  <si>
    <t>2.0 ± 1.0 hr/load</t>
  </si>
  <si>
    <t>RD: Driller 1; Floormen 3; Rigger 1; Crane Operator 1; Mechanic 1 | RU: Driller 1; Floormen 3; Riggers 2; Crane Operator 1; Mechanic 1</t>
  </si>
  <si>
    <t>RD: Driller 1; Floormen 4; Riggers 2; Crane Operator 1; Mechanic 1 | RU: Driller 1; Floormen 4; Riggers 2; Crane Operators 2; Mechanic 1</t>
  </si>
  <si>
    <t>RL-04-L2</t>
  </si>
  <si>
    <t>RL-05-L1</t>
  </si>
  <si>
    <t>Draworks</t>
  </si>
  <si>
    <t>3.01 x 3.20 x 1.61 m</t>
  </si>
  <si>
    <t>Heavy Hauler (Double Axle)</t>
  </si>
  <si>
    <t>4.0 ± 1.5 hr/load</t>
  </si>
  <si>
    <t>RL-02-L8, RL-03-L2, RL-04-L2</t>
  </si>
  <si>
    <t>RL-01-L6, RL-04-L2</t>
  </si>
  <si>
    <t>OVERSIZED: W=3.4m exceeds all truck types. Heavy Hauler assigned as closest fit. Special transport permit required.</t>
  </si>
  <si>
    <t>RL-05-L2</t>
  </si>
  <si>
    <t>RL-05-L3</t>
  </si>
  <si>
    <t>RL-06-L1</t>
  </si>
  <si>
    <t>Rotary table &amp; beam</t>
  </si>
  <si>
    <t>3.00 x 2.50 x 1.20 m</t>
  </si>
  <si>
    <t>Flat-bed (Single Axle)</t>
  </si>
  <si>
    <t>RL-02-L8, RL-03-L2</t>
  </si>
  <si>
    <t>RL-01-L6, RL-03-L2</t>
  </si>
  <si>
    <t>CORRECTED: truck type updated per weight+dimension validation</t>
  </si>
  <si>
    <t>RL-06-L2</t>
  </si>
  <si>
    <t>RL-07-L1</t>
  </si>
  <si>
    <t>SCR House</t>
  </si>
  <si>
    <t>Power &amp; Utility Area</t>
  </si>
  <si>
    <t>8.60 x 2.80 x 2.35 m</t>
  </si>
  <si>
    <t>RL-08-L4, RL-10-L2</t>
  </si>
  <si>
    <t>RD: Electrician 1; Mechanic 1; Floormen 2; Rigger 1; Crane Operator 1 | RU: Electrician 1; Mechanic 1; Floormen 2; Rigger 1; Crane Operator 1</t>
  </si>
  <si>
    <t>RD: Electricians 2; Mechanics 2; Floormen 3; Riggers 2; Crane Operator 1 | RU: Electricians 2; Mechanics 2; Floormen 3; Riggers 2; Crane Operator 1</t>
  </si>
  <si>
    <t>RL-08-L1</t>
  </si>
  <si>
    <t>Generator House</t>
  </si>
  <si>
    <t>12.00 x 3.00 x 3.20 m</t>
  </si>
  <si>
    <t>RL-08-L2</t>
  </si>
  <si>
    <t>RL-08-L3</t>
  </si>
  <si>
    <t>RL-08-L4</t>
  </si>
  <si>
    <t>RL-09-L1</t>
  </si>
  <si>
    <t>Day Tank</t>
  </si>
  <si>
    <t>20</t>
  </si>
  <si>
    <t>6.00 x 2.50 x 2.50 m</t>
  </si>
  <si>
    <t>1.5 ± 0.5 hr/load</t>
  </si>
  <si>
    <t>2.0 ± 0.5 hr/load</t>
  </si>
  <si>
    <t>RL-10-L1</t>
  </si>
  <si>
    <t>Fuel Tank</t>
  </si>
  <si>
    <t>12.00 x 2.50 x 2.80 m</t>
  </si>
  <si>
    <t>RL-10-L2</t>
  </si>
  <si>
    <t>RL-11-L1</t>
  </si>
  <si>
    <t>Mud Pumps</t>
  </si>
  <si>
    <t>Mud System &amp; Tank Farm</t>
  </si>
  <si>
    <t>4.12 x 2.44 x 1.81 m</t>
  </si>
  <si>
    <t>3.5 ± 1.0 hr/load</t>
  </si>
  <si>
    <t>RL-07-L1, RL-08-L4, RL-14-L4</t>
  </si>
  <si>
    <t>RD: Derrickman 1; Pumpman/Mechanic 1; Floormen 3; Rigger 1; Crane Operator 1; Electrician 1 | RU: Derrickman 1; Pumpman/Mechanic 1; Floormen 3; Riggers 2; Crane Operator 1; Electrician 1</t>
  </si>
  <si>
    <t>RD: Derrickman 1; Pumpman/Mechanic 2; Floormen 4; Riggers 2; Crane Operator 1; Electrician 1 | RU: Derrickman 1; Pumpman/Mechanic 2; Floormen 4; Riggers 2; Crane Operator 1; Electrician 1; Welder 1</t>
  </si>
  <si>
    <t>RL-11-L2</t>
  </si>
  <si>
    <t>RL-12-L1</t>
  </si>
  <si>
    <t>Water Tanks</t>
  </si>
  <si>
    <t>9.00 x 3.10 x 2.80 m</t>
  </si>
  <si>
    <t>RD: Derrickman 1; Floormen 2; Rigger 1; Crane Operator 1 | RU: Derrickman 1; Floormen 2; Rigger 1; Crane Operator 1</t>
  </si>
  <si>
    <t>RD: Derrickman 1; Floormen 3; Riggers 2; Crane Operator 1 | RU: Derrickman 1; Floormen 3; Riggers 2; Crane Operator 1</t>
  </si>
  <si>
    <t>RL-12-L2</t>
  </si>
  <si>
    <t>RL-12-L3</t>
  </si>
  <si>
    <t>RL-13-L1</t>
  </si>
  <si>
    <t>Shaker Tank</t>
  </si>
  <si>
    <t>40</t>
  </si>
  <si>
    <t>12.50 x 3.00 x 2.20 m</t>
  </si>
  <si>
    <t>RL-14-L4</t>
  </si>
  <si>
    <t>RL-14-L1</t>
  </si>
  <si>
    <t>Mud Tanks</t>
  </si>
  <si>
    <t>12.50 x 3.00 x 3.20 m</t>
  </si>
  <si>
    <t>2.5 ± 1.0 hr/load</t>
  </si>
  <si>
    <t>RL-14-L2</t>
  </si>
  <si>
    <t>RL-14-L3</t>
  </si>
  <si>
    <t>RL-15-L1</t>
  </si>
  <si>
    <t>Tank ladders</t>
  </si>
  <si>
    <t>5</t>
  </si>
  <si>
    <t>3.50 x 1.20 x 0.50 m</t>
  </si>
  <si>
    <t>1.0 ± 0.5 hr/load</t>
  </si>
  <si>
    <t>RL-16-L1</t>
  </si>
  <si>
    <t>Trip / Strip Tank</t>
  </si>
  <si>
    <t>15</t>
  </si>
  <si>
    <t>RL-17-L1</t>
  </si>
  <si>
    <t>Catwalk</t>
  </si>
  <si>
    <t>16.00 x 1.52 x 1.07 m</t>
  </si>
  <si>
    <t xml:space="preserve"> Flat-bed (Single Axle)</t>
  </si>
  <si>
    <t>RL-02-L8, RL-21-L2</t>
  </si>
  <si>
    <t>RL-17-L2</t>
  </si>
  <si>
    <t>RL-18-L1</t>
  </si>
  <si>
    <t>V-Door</t>
  </si>
  <si>
    <t>10</t>
  </si>
  <si>
    <t>8.00 x 1.52 x 1.50 m</t>
  </si>
  <si>
    <t>RL-19-L1</t>
  </si>
  <si>
    <t>Floor ladders</t>
  </si>
  <si>
    <t>6.00 x 1.20 x 0.50 m</t>
  </si>
  <si>
    <t>RL-21-L2</t>
  </si>
  <si>
    <t>RL-20-L1</t>
  </si>
  <si>
    <t>Dog house</t>
  </si>
  <si>
    <t>Camp, Cabins &amp; Containers</t>
  </si>
  <si>
    <t>6.10 x 2.44 x 2.44 m</t>
  </si>
  <si>
    <t>RD: Camp Foreman 1; Roustabouts 2; Truck Driver 1; Crane Operator 1 | RU: Camp Foreman 1; Roustabouts 2; Truck Driver 1; Crane Operator 1; Electrician 1</t>
  </si>
  <si>
    <t>RD: Camp Foreman 1; Roustabouts 3; Truck Driver 1; Crane Operator 1 | RU: Camp Foreman 1; Roustabouts 3; Truck Driver 1; Crane Operator 1; Electrician 1</t>
  </si>
  <si>
    <t>RL-21-L1</t>
  </si>
  <si>
    <t>Rig flooring &amp; railings</t>
  </si>
  <si>
    <t>6.70 x 5.9. x 1.20 m</t>
  </si>
  <si>
    <t>RL-03-L2, RL-05-L3, RL-06-L2</t>
  </si>
  <si>
    <t>OVERSIZED: W=6.0m exceeds all truck types. Heavy Hauler assigned as closest fit. Special wide-load permit required.</t>
  </si>
  <si>
    <t>RL-22-L1</t>
  </si>
  <si>
    <t>Beams</t>
  </si>
  <si>
    <t>12.00 x 1.20 x 1.20 m</t>
  </si>
  <si>
    <t>RL-23-L1</t>
  </si>
  <si>
    <t>Grass hopper</t>
  </si>
  <si>
    <t>8.00 x 2.50 x 2.00 m</t>
  </si>
  <si>
    <t>RL-24-L1</t>
  </si>
  <si>
    <t>Cable trays</t>
  </si>
  <si>
    <t>12</t>
  </si>
  <si>
    <t>12.00 x 2.00 x 1.00 m</t>
  </si>
  <si>
    <t>RL-07-L1, RL-08-L4</t>
  </si>
  <si>
    <t>RL-25-L1</t>
  </si>
  <si>
    <t>Koomey unit</t>
  </si>
  <si>
    <t>Well Control Area</t>
  </si>
  <si>
    <t>4.39 x 2.00 x 2.64 m</t>
  </si>
  <si>
    <t>RL-26-L1, RL-07-L1</t>
  </si>
  <si>
    <t>RD: Driller 1; BOP Tech 1; Floormen 3; Riggers 2; Crane Operator 1; Mechanic 1 | RU: Driller 1; BOP Tech 1; Floormen 3; Riggers 2; Crane Operator 1; Mechanic 1</t>
  </si>
  <si>
    <t>RD: Driller 1; BOP Techs 2; Floormen 4; Riggers 2; Crane Operator 1; Mechanic 1 | RU: Driller 1; BOP Techs 2; Floormen 4; Riggers 3; Crane Operator 1; Mechanic 1</t>
  </si>
  <si>
    <t>RL-26-L1</t>
  </si>
  <si>
    <t>BOP Stack</t>
  </si>
  <si>
    <t>30</t>
  </si>
  <si>
    <t>2.85 x 1.27 x 3.00 m</t>
  </si>
  <si>
    <t xml:space="preserve"> Low-bed (Double Axle)</t>
  </si>
  <si>
    <t>RL-27-L1</t>
  </si>
  <si>
    <t>Choke manifold</t>
  </si>
  <si>
    <t>6.00 x 2.40 x 2.20 m</t>
  </si>
  <si>
    <t>RL-25-L1, RL-26-L1</t>
  </si>
  <si>
    <t>RL-28-L1</t>
  </si>
  <si>
    <t>Drill Line spool</t>
  </si>
  <si>
    <t>Pipe Yard, Logistics &amp; Support</t>
  </si>
  <si>
    <t>2.50 x 2.50 x 2.00 m</t>
  </si>
  <si>
    <t>RL-02-L8, RL-05-L3</t>
  </si>
  <si>
    <t>RD: Yard Foreman 1; Forklift/Crane Operator 1; Roustabouts 2 | RU: Yard Foreman 1; Forklift/Crane Operator 1; Roustabouts 2</t>
  </si>
  <si>
    <t>RD: Yard Foreman 1; Forklift/Crane Operator 1; Roustabouts 3 | RU: Yard Foreman 1; Forklift/Crane Operator 1; Roustabouts 3</t>
  </si>
  <si>
    <t>RL-29-L1</t>
  </si>
  <si>
    <t>Fishing tool skid</t>
  </si>
  <si>
    <t>25</t>
  </si>
  <si>
    <t>RL-30-L1</t>
  </si>
  <si>
    <t>Substitutes skid</t>
  </si>
  <si>
    <t>RL-31-L1</t>
  </si>
  <si>
    <t>Pipe bins</t>
  </si>
  <si>
    <t>12.00 x 2.50 x 2.50 m</t>
  </si>
  <si>
    <t>1.0 ± 0.25 hr/load</t>
  </si>
  <si>
    <t>RL-31-L2</t>
  </si>
  <si>
    <t>RL-31-L3</t>
  </si>
  <si>
    <t>RL-31-L4</t>
  </si>
  <si>
    <t>RL-31-L5</t>
  </si>
  <si>
    <t>RL-31-L6</t>
  </si>
  <si>
    <t>RL-31-L7</t>
  </si>
  <si>
    <t>RL-31-L8</t>
  </si>
  <si>
    <t>RL-31-L9</t>
  </si>
  <si>
    <t>RL-31-L10</t>
  </si>
  <si>
    <t>RL-31-L11</t>
  </si>
  <si>
    <t>RL-31-L12</t>
  </si>
  <si>
    <t>RL-31-L13</t>
  </si>
  <si>
    <t>RL-31-L14</t>
  </si>
  <si>
    <t>RL-32-L1</t>
  </si>
  <si>
    <t>Store containers</t>
  </si>
  <si>
    <t>12.19 x 2.44 x 2.90 m</t>
  </si>
  <si>
    <t>RL-32-L2</t>
  </si>
  <si>
    <t>RL-32-L3</t>
  </si>
  <si>
    <t>RL-32-L4</t>
  </si>
  <si>
    <t>RL-33-L1</t>
  </si>
  <si>
    <t>Rig office and Accommodation</t>
  </si>
  <si>
    <t>RL-33-L2</t>
  </si>
  <si>
    <t>RL-33-L3</t>
  </si>
  <si>
    <t>RL-34-L1</t>
  </si>
  <si>
    <t>Primary and Secondary briefing Cabins</t>
  </si>
  <si>
    <t>6.00 x 3.00 x 3.20 m</t>
  </si>
  <si>
    <t>RL-33-L3, RL-07-L1</t>
  </si>
  <si>
    <t>RL-35-L1</t>
  </si>
  <si>
    <t>Welding shop</t>
  </si>
  <si>
    <t>6.00 x 2.50 x 3.00 m</t>
  </si>
  <si>
    <t>RL-36-L1</t>
  </si>
  <si>
    <t>Pipe racks</t>
  </si>
  <si>
    <t>9.10 x 1.20 x 1.20 m</t>
  </si>
  <si>
    <t>RL-36-L2</t>
  </si>
  <si>
    <t>RL-37-L1</t>
  </si>
  <si>
    <t>Crane</t>
  </si>
  <si>
    <t>12.00 x 3.00 x 3.80 m</t>
  </si>
  <si>
    <t xml:space="preserve"> Heavy Hauler (Double Axle)</t>
  </si>
  <si>
    <t>RD: Operator 1; Mechanic 1; Rigger 1 | RU: Operator 1; Mechanic 1; Rigger 1</t>
  </si>
  <si>
    <t>RD: Operator 1; Mechanics 2; Rigger 1 | RU: Operator 1; Mechanics 2; Rigger 1</t>
  </si>
  <si>
    <t>RL-38-L1</t>
  </si>
  <si>
    <t>Fork lift</t>
  </si>
  <si>
    <t>5.50 x 2.30 x 2.80 m</t>
  </si>
  <si>
    <t>RL-39-L1</t>
  </si>
  <si>
    <t>High &amp; Low horse</t>
  </si>
  <si>
    <t>3.00 x 2.00 x 2.00 m</t>
  </si>
  <si>
    <t>RL-40-L1</t>
  </si>
  <si>
    <t>Miscellaneous items</t>
  </si>
  <si>
    <t>0.75 ± 0.25 hr/load</t>
  </si>
  <si>
    <t>RL-40-L2</t>
  </si>
  <si>
    <t>RL-40-L3</t>
  </si>
  <si>
    <t>RL-40-L4</t>
  </si>
  <si>
    <t>RL-40-L5</t>
  </si>
  <si>
    <t>RL-40-L6</t>
  </si>
  <si>
    <t>RL-40-L7</t>
  </si>
  <si>
    <t>RL-40-L8</t>
  </si>
  <si>
    <t>RL-40-L9</t>
  </si>
  <si>
    <t>RL-40-L10</t>
  </si>
  <si>
    <t>CL-01-L1</t>
  </si>
  <si>
    <t>Camp</t>
  </si>
  <si>
    <t>Caravans</t>
  </si>
  <si>
    <t>CL-02-L1</t>
  </si>
  <si>
    <t>CL-01-L2</t>
  </si>
  <si>
    <t>CL-01-L3</t>
  </si>
  <si>
    <t>CL-01-L4</t>
  </si>
  <si>
    <t>CL-01-L5</t>
  </si>
  <si>
    <t>CL-01-L6</t>
  </si>
  <si>
    <t>CL-01-L7</t>
  </si>
  <si>
    <t>CL-01-L8</t>
  </si>
  <si>
    <t>CL-01-L9</t>
  </si>
  <si>
    <t>Power house</t>
  </si>
  <si>
    <t xml:space="preserve">Low-bed (Double Axle) </t>
  </si>
  <si>
    <t>CL-03-L1</t>
  </si>
  <si>
    <t>CL-04-L1</t>
  </si>
  <si>
    <t>Store container</t>
  </si>
  <si>
    <t>CL-05-L1</t>
  </si>
  <si>
    <t>Spare motor skid</t>
  </si>
  <si>
    <t>CL-06-L1</t>
  </si>
  <si>
    <t>Spare tool bin</t>
  </si>
  <si>
    <t>Load #</t>
  </si>
  <si>
    <t>SU-01-L1</t>
  </si>
  <si>
    <t>Startup</t>
  </si>
  <si>
    <t>Drill pipe</t>
  </si>
  <si>
    <t>13.50 x 2.50 x 2.50 m</t>
  </si>
  <si>
    <t>RL-31-L14, RL-36-L2</t>
  </si>
  <si>
    <t>SU-01-L2</t>
  </si>
  <si>
    <t>SU-01-L3</t>
  </si>
  <si>
    <t>SU-01-L4</t>
  </si>
  <si>
    <t>SU-02-L1</t>
  </si>
  <si>
    <t>Drill collars / BHA tools</t>
  </si>
  <si>
    <t>5.0 ± 1.5 hr/load</t>
  </si>
  <si>
    <t>SU-02-L2</t>
  </si>
  <si>
    <t>SU-03-L1</t>
  </si>
  <si>
    <t>Drill bit</t>
  </si>
  <si>
    <t>2</t>
  </si>
  <si>
    <t>2.00 x 1.50 x 1.50 m</t>
  </si>
  <si>
    <t>SU-04-L1</t>
  </si>
  <si>
    <t>Subs / crossovers / float subs</t>
  </si>
  <si>
    <t>3</t>
  </si>
  <si>
    <t>2.50 x 1.80 x 1.80 m</t>
  </si>
  <si>
    <t>SU-05-L1</t>
  </si>
  <si>
    <t>Tubular handling tools</t>
  </si>
  <si>
    <t>4.00 x 2.20 x 2.20 m</t>
  </si>
  <si>
    <t>SU-05-L2</t>
  </si>
  <si>
    <t>SU-06-L1</t>
  </si>
  <si>
    <t>Tubular baskets / pipe accessories</t>
  </si>
  <si>
    <t>6.00 x 2.40 x 2.40 m</t>
  </si>
  <si>
    <t>SU-06-L2</t>
  </si>
  <si>
    <t>SU-07-L1</t>
  </si>
  <si>
    <t>Drilling fluid / spud mud</t>
  </si>
  <si>
    <t>6.00 x 2.40 x 2.50 m</t>
  </si>
  <si>
    <t>RL-14-L4, RL-11-L2</t>
  </si>
  <si>
    <t>SU-07-L2</t>
  </si>
  <si>
    <t>SU-07-L3</t>
  </si>
  <si>
    <t>SU-07-L4</t>
  </si>
  <si>
    <t>SU-08-L1</t>
  </si>
  <si>
    <t>Mud chemicals</t>
  </si>
  <si>
    <t>SU-08-L2</t>
  </si>
  <si>
    <t>SU-08-L3</t>
  </si>
  <si>
    <t>SU-08-L4</t>
  </si>
  <si>
    <t>SU-09-L1</t>
  </si>
  <si>
    <t>Water / brine supply</t>
  </si>
  <si>
    <t>SU-09-L2</t>
  </si>
  <si>
    <t>SU-09-L3</t>
  </si>
  <si>
    <t>SU-10-L1</t>
  </si>
  <si>
    <t>Diesel fuel</t>
  </si>
  <si>
    <t>SU-10-L2</t>
  </si>
  <si>
    <t>SU-11-L1</t>
  </si>
  <si>
    <t>Lubricants &amp; hydraulic oil</t>
  </si>
  <si>
    <t>8</t>
  </si>
  <si>
    <t>3.00 x 2.20 x 2.20 m</t>
  </si>
  <si>
    <t>SU-12-L1</t>
  </si>
  <si>
    <t>Grease, filters &amp; maintenance consumables</t>
  </si>
  <si>
    <t>2.50 x 2.00 x 2.00 m</t>
  </si>
  <si>
    <t>SU-13-L1</t>
  </si>
  <si>
    <t>Standpipe manifold parts &amp; seals</t>
  </si>
  <si>
    <t>SU-14-L1</t>
  </si>
  <si>
    <t>BOP test equipment</t>
  </si>
  <si>
    <t>4.00 x 2.40 x 2.50 m</t>
  </si>
  <si>
    <t>SU-15-L1</t>
  </si>
  <si>
    <t>Top drive package / Kelly package</t>
  </si>
  <si>
    <t>18</t>
  </si>
  <si>
    <t>7.00 x 2.80 x 3.20 m</t>
  </si>
  <si>
    <t>RL-01-L6, RL-02-L8, RL-06-L2</t>
  </si>
  <si>
    <t>Truck Type</t>
  </si>
  <si>
    <t>Maximum Weight (tons)</t>
  </si>
  <si>
    <t>Approx. Truck Dimensions (L x W x H, m)</t>
  </si>
  <si>
    <t>Average Speed (km/h)</t>
  </si>
  <si>
    <t>α</t>
  </si>
  <si>
    <t>25 (planning estimate)</t>
  </si>
  <si>
    <t>16.0 x 2.6 x 3.5</t>
  </si>
  <si>
    <t>50</t>
  </si>
  <si>
    <t>0.3-0.4</t>
  </si>
  <si>
    <t>40 (planning estimate)</t>
  </si>
  <si>
    <t>18.0 x 3.0 x 3.6</t>
  </si>
  <si>
    <t>0.25-0.35</t>
  </si>
  <si>
    <t>60 (planning estimate)</t>
  </si>
  <si>
    <t>20.0 x 3.2 x 3.8</t>
  </si>
  <si>
    <t>0.35-0.5</t>
  </si>
  <si>
    <t>Vnew​=Vavg(1−α×Wload​/Wmax)</t>
  </si>
  <si>
    <t>SHIFT &amp; TIME CONSTRAINTS</t>
  </si>
  <si>
    <t>SHIFT STRUCTURE</t>
  </si>
  <si>
    <t>Parameter</t>
  </si>
  <si>
    <t>Number of shifts per day</t>
  </si>
  <si>
    <t>shifts/day</t>
  </si>
  <si>
    <t>Fixed — cannot be changed</t>
  </si>
  <si>
    <t>Shift duration</t>
  </si>
  <si>
    <t>hours/shift</t>
  </si>
  <si>
    <t>Each shift = 12 hours</t>
  </si>
  <si>
    <t>Total working hours per day</t>
  </si>
  <si>
    <t>hours/day</t>
  </si>
  <si>
    <t>Shift 1 + Shift 2</t>
  </si>
  <si>
    <t>SHIFT SCHEDULE</t>
  </si>
  <si>
    <t>Shift</t>
  </si>
  <si>
    <t>Shift 1 (Day)</t>
  </si>
  <si>
    <t>06:00</t>
  </si>
  <si>
    <t>18:00</t>
  </si>
  <si>
    <t>12 hours</t>
  </si>
  <si>
    <t>YES</t>
  </si>
  <si>
    <t>Shift 2 (Night)</t>
  </si>
  <si>
    <t>NO — DARK (Safety)</t>
  </si>
  <si>
    <t>TRANSPORT CONSTRAINT</t>
  </si>
  <si>
    <t>Transport allowed shifts</t>
  </si>
  <si>
    <t>Shift 1 only</t>
  </si>
  <si>
    <t>Rig moving NOT allowed at night (Shift 2)</t>
  </si>
  <si>
    <t>Effective transport window/day</t>
  </si>
  <si>
    <t>hours</t>
  </si>
  <si>
    <t>Only during Shift 1 (06:00–18:00)</t>
  </si>
  <si>
    <t>Max transport trips per day</t>
  </si>
  <si>
    <t>trips</t>
  </si>
  <si>
    <t>Based on 0.59h one-way @ 20km</t>
  </si>
  <si>
    <t>Round-trip time (20km)</t>
  </si>
  <si>
    <t>One-way 0.59h × 2</t>
  </si>
  <si>
    <t>CPM IMPACT</t>
  </si>
  <si>
    <t>TR node duration</t>
  </si>
  <si>
    <t>If TR spans shift boundary</t>
  </si>
  <si>
    <t>Defer to next Shift 1</t>
  </si>
  <si>
    <t>TR cannot start after 17:30 (needs 0.59h buffer before 18:00)</t>
  </si>
  <si>
    <t>Daily schedule unit</t>
  </si>
  <si>
    <t>CPM durations remain in hours; shift logic applied in platform</t>
  </si>
  <si>
    <t>TRUCK TYPE VALIDATION REPORT</t>
  </si>
  <si>
    <t>Auto-generated validation against truck specs: Flat-bed ≤25t/16m, Low-bed ≤40t/18m, Heavy Hauler ≤60t/20m</t>
  </si>
  <si>
    <t>Task ID</t>
  </si>
  <si>
    <t>Weight (t)</t>
  </si>
  <si>
    <t>L x W x H (m)</t>
  </si>
  <si>
    <t>Original Truck</t>
  </si>
  <si>
    <t>Corrected Truck</t>
  </si>
  <si>
    <t>Issue</t>
  </si>
  <si>
    <t>Status</t>
  </si>
  <si>
    <t>RL-01</t>
  </si>
  <si>
    <t>14.55x3.1x3.5</t>
  </si>
  <si>
    <t>Heavy Hauler</t>
  </si>
  <si>
    <t>✓ OK</t>
  </si>
  <si>
    <t>RL-02</t>
  </si>
  <si>
    <t>20.00x3.2x2.16</t>
  </si>
  <si>
    <t>RL-03</t>
  </si>
  <si>
    <t>6.00x3.00x2.00</t>
  </si>
  <si>
    <t>Low-bed</t>
  </si>
  <si>
    <t>RL-04</t>
  </si>
  <si>
    <t>9.00x1.50x1.50</t>
  </si>
  <si>
    <t>Flat-bed</t>
  </si>
  <si>
    <t>RL-05</t>
  </si>
  <si>
    <t>33</t>
  </si>
  <si>
    <t>3.01x3.40x1.61</t>
  </si>
  <si>
    <t>W=3.4m &gt; all trucks</t>
  </si>
  <si>
    <t>⚠ OVERSIZED</t>
  </si>
  <si>
    <t>RL-06</t>
  </si>
  <si>
    <t>3.00x2.50x1.20</t>
  </si>
  <si>
    <t>Over-assigned</t>
  </si>
  <si>
    <t>✗ FIXED</t>
  </si>
  <si>
    <t>RL-07</t>
  </si>
  <si>
    <t>8.60x2.80x2.35</t>
  </si>
  <si>
    <t>W=2.8m &gt; 2.6m</t>
  </si>
  <si>
    <t>RL-08</t>
  </si>
  <si>
    <t>12.00x3.00x3.20</t>
  </si>
  <si>
    <t>RL-09</t>
  </si>
  <si>
    <t>6.00x2.50x2.50</t>
  </si>
  <si>
    <t>RL-10</t>
  </si>
  <si>
    <t>12.00x2.50x2.80</t>
  </si>
  <si>
    <t>RL-11</t>
  </si>
  <si>
    <t>42</t>
  </si>
  <si>
    <t>4.12x2.44x1.81</t>
  </si>
  <si>
    <t>RL-12</t>
  </si>
  <si>
    <t>9.00x3.10x2.80</t>
  </si>
  <si>
    <t>W=3.1m &gt; 3.0m</t>
  </si>
  <si>
    <t>RL-13</t>
  </si>
  <si>
    <t>12.50x3.00x2.20</t>
  </si>
  <si>
    <t>RL-14</t>
  </si>
  <si>
    <t>23</t>
  </si>
  <si>
    <t>12.50x3.00x3.20</t>
  </si>
  <si>
    <t>RL-15</t>
  </si>
  <si>
    <t>3.50x1.20x0.50</t>
  </si>
  <si>
    <t>RL-16</t>
  </si>
  <si>
    <t>Trip/Strip Tank</t>
  </si>
  <si>
    <t>RL-17</t>
  </si>
  <si>
    <t>16.00x1.52x1.07</t>
  </si>
  <si>
    <t>RL-18</t>
  </si>
  <si>
    <t>8.00x1.52x1.50</t>
  </si>
  <si>
    <t>RL-19</t>
  </si>
  <si>
    <t>6.00x1.20x0.50</t>
  </si>
  <si>
    <t>RL-20</t>
  </si>
  <si>
    <t>6.10x2.44x2.44</t>
  </si>
  <si>
    <t>RL-21</t>
  </si>
  <si>
    <t>6.70x6.00x1.20</t>
  </si>
  <si>
    <t>W=6.0m &gt; all trucks</t>
  </si>
  <si>
    <t>RL-22</t>
  </si>
  <si>
    <t>12.00x1.20x1.20</t>
  </si>
  <si>
    <t>RL-23</t>
  </si>
  <si>
    <t>8.00x2.50x2.00</t>
  </si>
  <si>
    <t>RL-24</t>
  </si>
  <si>
    <t>12.00x2.00x1.00</t>
  </si>
  <si>
    <t>RL-25</t>
  </si>
  <si>
    <t>4.39x2.00x2.64</t>
  </si>
  <si>
    <t>RL-26</t>
  </si>
  <si>
    <t>2.85x1.27x3.00</t>
  </si>
  <si>
    <t>RL-27</t>
  </si>
  <si>
    <t>6.00x2.40x2.20</t>
  </si>
  <si>
    <t>RL-28</t>
  </si>
  <si>
    <t>2.50x2.50x2.00</t>
  </si>
  <si>
    <t>RL-29</t>
  </si>
  <si>
    <t>RL-30</t>
  </si>
  <si>
    <t>RL-31</t>
  </si>
  <si>
    <t>12.00x2.50x2.50</t>
  </si>
  <si>
    <t>Wt 30t &gt; 25t limit</t>
  </si>
  <si>
    <t>RL-32</t>
  </si>
  <si>
    <t>12.19x2.44x2.90</t>
  </si>
  <si>
    <t>RL-33</t>
  </si>
  <si>
    <t>Rig office</t>
  </si>
  <si>
    <t>RL-34</t>
  </si>
  <si>
    <t>Briefing Cabins</t>
  </si>
  <si>
    <t>6.00x3.00x3.20</t>
  </si>
  <si>
    <t>RL-35</t>
  </si>
  <si>
    <t>6.00x2.50x3.00</t>
  </si>
  <si>
    <t>RL-36</t>
  </si>
  <si>
    <t>6</t>
  </si>
  <si>
    <t>9.10x1.20x1.20</t>
  </si>
  <si>
    <t>RL-37</t>
  </si>
  <si>
    <t>12.00x3.00x3.80</t>
  </si>
  <si>
    <t>RL-38</t>
  </si>
  <si>
    <t>5.50x2.30x2.80</t>
  </si>
  <si>
    <t>RL-39</t>
  </si>
  <si>
    <t>3.00x2.00x2.00</t>
  </si>
  <si>
    <t>RL-40</t>
  </si>
  <si>
    <t>Misc items</t>
  </si>
  <si>
    <t>CL-01</t>
  </si>
  <si>
    <t>CL-02</t>
  </si>
  <si>
    <t>CL-03</t>
  </si>
  <si>
    <t>Fuel Tank (camp)</t>
  </si>
  <si>
    <t>CL-04</t>
  </si>
  <si>
    <t>CL-05</t>
  </si>
  <si>
    <t>CL-06</t>
  </si>
  <si>
    <t>SU-01</t>
  </si>
  <si>
    <t>13.50x2.50x2.50</t>
  </si>
  <si>
    <t>SU-02</t>
  </si>
  <si>
    <t>Drill collars</t>
  </si>
  <si>
    <t>SU-03</t>
  </si>
  <si>
    <t>2.00x1.50x1.50</t>
  </si>
  <si>
    <t>SU-04</t>
  </si>
  <si>
    <t>Subs/crossovers</t>
  </si>
  <si>
    <t>2.50x1.80x1.80</t>
  </si>
  <si>
    <t>SU-05</t>
  </si>
  <si>
    <t>4.00x2.20x2.20</t>
  </si>
  <si>
    <t>SU-06</t>
  </si>
  <si>
    <t>Tubular baskets</t>
  </si>
  <si>
    <t>6.00x2.40x2.40</t>
  </si>
  <si>
    <t>SU-07</t>
  </si>
  <si>
    <t>Drilling fluid</t>
  </si>
  <si>
    <t>6.00x2.40x2.50</t>
  </si>
  <si>
    <t>SU-08</t>
  </si>
  <si>
    <t>SU-09</t>
  </si>
  <si>
    <t>Water/brine supply</t>
  </si>
  <si>
    <t>SU-10</t>
  </si>
  <si>
    <t>SU-11</t>
  </si>
  <si>
    <t>Lubricants</t>
  </si>
  <si>
    <t>3.00x2.20x2.20</t>
  </si>
  <si>
    <t>SU-12</t>
  </si>
  <si>
    <t>Grease/filters</t>
  </si>
  <si>
    <t>2.50x2.00x2.00</t>
  </si>
  <si>
    <t>SU-13</t>
  </si>
  <si>
    <t>Standpipe manifold</t>
  </si>
  <si>
    <t>SU-14</t>
  </si>
  <si>
    <t>4.00x2.40x2.50</t>
  </si>
  <si>
    <t>SU-15</t>
  </si>
  <si>
    <t>Top drive package</t>
  </si>
  <si>
    <t>7.00x2.80x3.20</t>
  </si>
  <si>
    <t>SUMMARY: 61 tasks checked | 42 OK | 17 corrected | 2 oversized flags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</si>
</sst>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1"/>
      <color theme="1"/>
      <name val="Aptos Narrow"/>
      <charset val="134"/>
      <scheme val="minor"/>
    </font>
    <font>
      <b/>
      <sz val="13"/>
      <color rgb="FF1F3864"/>
      <name val="Arial"/>
      <charset val="134"/>
    </font>
    <font>
      <i/>
      <sz val="9"/>
      <color rgb="FF595959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0"/>
      <color rgb="FF375623"/>
      <name val="Arial"/>
      <charset val="134"/>
    </font>
    <font>
      <b/>
      <sz val="10"/>
      <color rgb="FFC00000"/>
      <name val="Arial"/>
      <charset val="134"/>
    </font>
    <font>
      <b/>
      <sz val="10"/>
      <color rgb="FF7F6000"/>
      <name val="Arial"/>
      <charset val="134"/>
    </font>
    <font>
      <b/>
      <sz val="10"/>
      <color rgb="FF1F3864"/>
      <name val="Arial"/>
      <charset val="134"/>
    </font>
    <font>
      <b/>
      <sz val="14"/>
      <color rgb="FF1F3864"/>
      <name val="Arial"/>
      <charset val="134"/>
    </font>
    <font>
      <sz val="10"/>
      <name val="Arial"/>
      <charset val="134"/>
    </font>
    <font>
      <b/>
      <sz val="9"/>
      <name val="Arial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6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0"/>
      <color rgb="FFFFFFFF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0"/>
      <name val="Aptos Narrow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F4E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9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9" fillId="21" borderId="10"/>
    <xf numFmtId="0" fontId="30" fillId="22" borderId="9" applyNumberFormat="0" applyAlignment="0" applyProtection="0">
      <alignment vertical="center"/>
    </xf>
    <xf numFmtId="0" fontId="31" fillId="23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9" fillId="35" borderId="0"/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0" xfId="0" applyFont="1" applyFill="1"/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1" fillId="6" borderId="1" xfId="0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0" fontId="10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12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vertical="center"/>
    </xf>
    <xf numFmtId="0" fontId="18" fillId="9" borderId="4" xfId="0" applyFont="1" applyFill="1" applyBorder="1" applyAlignment="1">
      <alignment vertical="center"/>
    </xf>
    <xf numFmtId="0" fontId="18" fillId="9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vertical="center"/>
    </xf>
    <xf numFmtId="0" fontId="18" fillId="10" borderId="4" xfId="0" applyFont="1" applyFill="1" applyBorder="1" applyAlignment="1">
      <alignment vertical="center"/>
    </xf>
    <xf numFmtId="0" fontId="18" fillId="10" borderId="4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vertical="center"/>
    </xf>
    <xf numFmtId="0" fontId="18" fillId="11" borderId="4" xfId="0" applyFont="1" applyFill="1" applyBorder="1" applyAlignment="1">
      <alignment vertical="center"/>
    </xf>
    <xf numFmtId="0" fontId="18" fillId="11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vertical="center"/>
    </xf>
    <xf numFmtId="0" fontId="18" fillId="12" borderId="4" xfId="0" applyFont="1" applyFill="1" applyBorder="1" applyAlignment="1">
      <alignment vertical="center"/>
    </xf>
    <xf numFmtId="0" fontId="18" fillId="12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vertical="center"/>
    </xf>
    <xf numFmtId="0" fontId="16" fillId="13" borderId="5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vertical="center"/>
    </xf>
    <xf numFmtId="0" fontId="18" fillId="14" borderId="5" xfId="0" applyFont="1" applyFill="1" applyBorder="1" applyAlignment="1">
      <alignment vertical="center"/>
    </xf>
    <xf numFmtId="0" fontId="18" fillId="14" borderId="5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vertical="center"/>
    </xf>
    <xf numFmtId="0" fontId="18" fillId="15" borderId="5" xfId="0" applyFont="1" applyFill="1" applyBorder="1" applyAlignment="1">
      <alignment vertical="center"/>
    </xf>
    <xf numFmtId="0" fontId="18" fillId="15" borderId="5" xfId="0" applyFont="1" applyFill="1" applyBorder="1" applyAlignment="1">
      <alignment horizontal="center" vertical="center"/>
    </xf>
    <xf numFmtId="0" fontId="17" fillId="16" borderId="5" xfId="0" applyFont="1" applyFill="1" applyBorder="1" applyAlignment="1">
      <alignment vertical="center"/>
    </xf>
    <xf numFmtId="0" fontId="18" fillId="16" borderId="5" xfId="0" applyFont="1" applyFill="1" applyBorder="1" applyAlignment="1">
      <alignment vertical="center"/>
    </xf>
    <xf numFmtId="0" fontId="17" fillId="17" borderId="5" xfId="0" applyFont="1" applyFill="1" applyBorder="1" applyAlignment="1">
      <alignment vertical="center"/>
    </xf>
    <xf numFmtId="0" fontId="18" fillId="17" borderId="5" xfId="0" applyFont="1" applyFill="1" applyBorder="1" applyAlignment="1">
      <alignment vertical="center"/>
    </xf>
    <xf numFmtId="0" fontId="18" fillId="17" borderId="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vertical="center"/>
    </xf>
    <xf numFmtId="0" fontId="18" fillId="18" borderId="5" xfId="0" applyFont="1" applyFill="1" applyBorder="1" applyAlignment="1">
      <alignment vertical="center"/>
    </xf>
    <xf numFmtId="0" fontId="18" fillId="3" borderId="5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2"/>
  <sheetViews>
    <sheetView tabSelected="1" workbookViewId="0">
      <pane ySplit="1" topLeftCell="A2" activePane="bottomLeft" state="frozen"/>
      <selection/>
      <selection pane="bottomLeft" activeCell="E19" sqref="E19"/>
    </sheetView>
  </sheetViews>
  <sheetFormatPr defaultColWidth="9" defaultRowHeight="14.4"/>
  <cols>
    <col min="1" max="1" width="14" customWidth="1"/>
    <col min="2" max="2" width="12" customWidth="1"/>
    <col min="3" max="3" width="28" customWidth="1"/>
    <col min="4" max="4" width="22" customWidth="1"/>
    <col min="5" max="5" width="10" customWidth="1"/>
    <col min="6" max="6" width="14" style="28" customWidth="1"/>
    <col min="7" max="7" width="22" customWidth="1"/>
    <col min="8" max="8" width="9" customWidth="1"/>
    <col min="9" max="9" width="22" customWidth="1"/>
    <col min="10" max="10" width="12" customWidth="1"/>
    <col min="11" max="12" width="16" customWidth="1"/>
    <col min="13" max="13" width="20" customWidth="1"/>
    <col min="14" max="15" width="26" customWidth="1"/>
    <col min="16" max="17" width="46" customWidth="1"/>
    <col min="18" max="18" width="30" customWidth="1"/>
  </cols>
  <sheetData>
    <row r="1" ht="36" customHeight="1" spans="1:18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</row>
    <row r="2" ht="16" customHeight="1" spans="1:18">
      <c r="A2" s="44" t="s">
        <v>18</v>
      </c>
      <c r="B2" s="45" t="s">
        <v>19</v>
      </c>
      <c r="C2" s="45" t="s">
        <v>20</v>
      </c>
      <c r="D2" s="45" t="s">
        <v>21</v>
      </c>
      <c r="E2" s="45">
        <v>6</v>
      </c>
      <c r="F2" s="46">
        <v>30</v>
      </c>
      <c r="G2" s="45" t="s">
        <v>22</v>
      </c>
      <c r="H2" s="45">
        <v>4</v>
      </c>
      <c r="I2" s="45" t="s">
        <v>23</v>
      </c>
      <c r="J2" s="45" t="s">
        <v>24</v>
      </c>
      <c r="K2" s="45" t="s">
        <v>25</v>
      </c>
      <c r="L2" s="45" t="s">
        <v>26</v>
      </c>
      <c r="M2" s="45" t="s">
        <v>27</v>
      </c>
      <c r="N2" s="56" t="s">
        <v>28</v>
      </c>
      <c r="O2" s="45" t="s">
        <v>27</v>
      </c>
      <c r="P2" s="45" t="s">
        <v>29</v>
      </c>
      <c r="Q2" s="45" t="s">
        <v>30</v>
      </c>
      <c r="R2" s="45" t="s">
        <v>31</v>
      </c>
    </row>
    <row r="3" ht="16" customHeight="1" spans="1:18">
      <c r="A3" s="44" t="s">
        <v>32</v>
      </c>
      <c r="B3" s="45" t="s">
        <v>19</v>
      </c>
      <c r="C3" s="45" t="s">
        <v>20</v>
      </c>
      <c r="D3" s="45" t="s">
        <v>21</v>
      </c>
      <c r="E3" s="45">
        <v>6</v>
      </c>
      <c r="F3" s="46">
        <v>30</v>
      </c>
      <c r="G3" s="45" t="s">
        <v>22</v>
      </c>
      <c r="H3" s="45">
        <v>4</v>
      </c>
      <c r="I3" s="45" t="s">
        <v>23</v>
      </c>
      <c r="J3" s="45" t="s">
        <v>24</v>
      </c>
      <c r="K3" s="45" t="s">
        <v>25</v>
      </c>
      <c r="L3" s="45" t="s">
        <v>26</v>
      </c>
      <c r="M3" s="57" t="s">
        <v>18</v>
      </c>
      <c r="N3" s="56" t="s">
        <v>18</v>
      </c>
      <c r="O3" s="58" t="s">
        <v>18</v>
      </c>
      <c r="P3" s="45" t="s">
        <v>29</v>
      </c>
      <c r="Q3" s="45" t="s">
        <v>30</v>
      </c>
      <c r="R3" s="45" t="s">
        <v>31</v>
      </c>
    </row>
    <row r="4" ht="16" customHeight="1" spans="1:18">
      <c r="A4" s="44" t="s">
        <v>33</v>
      </c>
      <c r="B4" s="45" t="s">
        <v>19</v>
      </c>
      <c r="C4" s="45" t="s">
        <v>20</v>
      </c>
      <c r="D4" s="45" t="s">
        <v>21</v>
      </c>
      <c r="E4" s="45">
        <v>6</v>
      </c>
      <c r="F4" s="46">
        <v>30</v>
      </c>
      <c r="G4" s="45" t="s">
        <v>22</v>
      </c>
      <c r="H4" s="45">
        <v>4</v>
      </c>
      <c r="I4" s="45" t="s">
        <v>23</v>
      </c>
      <c r="J4" s="45" t="s">
        <v>24</v>
      </c>
      <c r="K4" s="45" t="s">
        <v>25</v>
      </c>
      <c r="L4" s="45" t="s">
        <v>26</v>
      </c>
      <c r="M4" s="57" t="s">
        <v>32</v>
      </c>
      <c r="N4" s="56" t="s">
        <v>32</v>
      </c>
      <c r="O4" s="58" t="s">
        <v>32</v>
      </c>
      <c r="P4" s="45" t="s">
        <v>29</v>
      </c>
      <c r="Q4" s="45" t="s">
        <v>30</v>
      </c>
      <c r="R4" s="45" t="s">
        <v>31</v>
      </c>
    </row>
    <row r="5" ht="16" customHeight="1" spans="1:18">
      <c r="A5" s="44" t="s">
        <v>34</v>
      </c>
      <c r="B5" s="45" t="s">
        <v>19</v>
      </c>
      <c r="C5" s="45" t="s">
        <v>20</v>
      </c>
      <c r="D5" s="45" t="s">
        <v>21</v>
      </c>
      <c r="E5" s="45">
        <v>6</v>
      </c>
      <c r="F5" s="46">
        <v>30</v>
      </c>
      <c r="G5" s="45" t="s">
        <v>22</v>
      </c>
      <c r="H5" s="45">
        <v>4</v>
      </c>
      <c r="I5" s="45" t="s">
        <v>23</v>
      </c>
      <c r="J5" s="45" t="s">
        <v>24</v>
      </c>
      <c r="K5" s="45" t="s">
        <v>25</v>
      </c>
      <c r="L5" s="45" t="s">
        <v>26</v>
      </c>
      <c r="M5" s="57" t="s">
        <v>33</v>
      </c>
      <c r="N5" s="56" t="s">
        <v>33</v>
      </c>
      <c r="O5" s="58" t="s">
        <v>33</v>
      </c>
      <c r="P5" s="45" t="s">
        <v>29</v>
      </c>
      <c r="Q5" s="45" t="s">
        <v>30</v>
      </c>
      <c r="R5" s="45" t="s">
        <v>31</v>
      </c>
    </row>
    <row r="6" ht="16" customHeight="1" spans="1:18">
      <c r="A6" s="44" t="s">
        <v>35</v>
      </c>
      <c r="B6" s="45" t="s">
        <v>19</v>
      </c>
      <c r="C6" s="45" t="s">
        <v>20</v>
      </c>
      <c r="D6" s="45" t="s">
        <v>21</v>
      </c>
      <c r="E6" s="45">
        <v>6</v>
      </c>
      <c r="F6" s="46">
        <v>30</v>
      </c>
      <c r="G6" s="45" t="s">
        <v>22</v>
      </c>
      <c r="H6" s="45">
        <v>4</v>
      </c>
      <c r="I6" s="45" t="s">
        <v>23</v>
      </c>
      <c r="J6" s="45" t="s">
        <v>24</v>
      </c>
      <c r="K6" s="45" t="s">
        <v>25</v>
      </c>
      <c r="L6" s="45" t="s">
        <v>26</v>
      </c>
      <c r="M6" s="57" t="s">
        <v>34</v>
      </c>
      <c r="N6" s="56" t="s">
        <v>34</v>
      </c>
      <c r="O6" s="58" t="s">
        <v>34</v>
      </c>
      <c r="P6" s="45" t="s">
        <v>29</v>
      </c>
      <c r="Q6" s="45" t="s">
        <v>30</v>
      </c>
      <c r="R6" s="45" t="s">
        <v>31</v>
      </c>
    </row>
    <row r="7" ht="16" customHeight="1" spans="1:18">
      <c r="A7" s="44" t="s">
        <v>36</v>
      </c>
      <c r="B7" s="45" t="s">
        <v>19</v>
      </c>
      <c r="C7" s="45" t="s">
        <v>20</v>
      </c>
      <c r="D7" s="45" t="s">
        <v>21</v>
      </c>
      <c r="E7" s="45">
        <v>6</v>
      </c>
      <c r="F7" s="46">
        <v>30</v>
      </c>
      <c r="G7" s="45" t="s">
        <v>22</v>
      </c>
      <c r="H7" s="45">
        <v>4</v>
      </c>
      <c r="I7" s="45" t="s">
        <v>23</v>
      </c>
      <c r="J7" s="45" t="s">
        <v>24</v>
      </c>
      <c r="K7" s="45" t="s">
        <v>25</v>
      </c>
      <c r="L7" s="45" t="s">
        <v>26</v>
      </c>
      <c r="M7" s="57" t="s">
        <v>35</v>
      </c>
      <c r="N7" s="56" t="s">
        <v>35</v>
      </c>
      <c r="O7" s="58" t="s">
        <v>35</v>
      </c>
      <c r="P7" s="45" t="s">
        <v>29</v>
      </c>
      <c r="Q7" s="45" t="s">
        <v>30</v>
      </c>
      <c r="R7" s="45" t="s">
        <v>31</v>
      </c>
    </row>
    <row r="8" ht="16" customHeight="1" spans="1:18">
      <c r="A8" s="47" t="s">
        <v>37</v>
      </c>
      <c r="B8" s="48" t="s">
        <v>19</v>
      </c>
      <c r="C8" s="48" t="s">
        <v>38</v>
      </c>
      <c r="D8" s="48" t="s">
        <v>21</v>
      </c>
      <c r="E8" s="48">
        <v>8</v>
      </c>
      <c r="F8" s="49">
        <v>15</v>
      </c>
      <c r="G8" s="48" t="s">
        <v>39</v>
      </c>
      <c r="H8" s="48">
        <v>3</v>
      </c>
      <c r="I8" s="48" t="s">
        <v>40</v>
      </c>
      <c r="J8" s="48" t="s">
        <v>24</v>
      </c>
      <c r="K8" s="48" t="s">
        <v>41</v>
      </c>
      <c r="L8" s="48" t="s">
        <v>42</v>
      </c>
      <c r="M8" s="48" t="s">
        <v>27</v>
      </c>
      <c r="N8" s="56" t="s">
        <v>43</v>
      </c>
      <c r="O8" s="58" t="s">
        <v>44</v>
      </c>
      <c r="P8" s="48" t="s">
        <v>29</v>
      </c>
      <c r="Q8" s="48" t="s">
        <v>30</v>
      </c>
      <c r="R8" s="48" t="s">
        <v>31</v>
      </c>
    </row>
    <row r="9" ht="16" customHeight="1" spans="1:18">
      <c r="A9" s="47" t="s">
        <v>45</v>
      </c>
      <c r="B9" s="48" t="s">
        <v>19</v>
      </c>
      <c r="C9" s="48" t="s">
        <v>38</v>
      </c>
      <c r="D9" s="48" t="s">
        <v>21</v>
      </c>
      <c r="E9" s="48">
        <v>8</v>
      </c>
      <c r="F9" s="49">
        <v>15</v>
      </c>
      <c r="G9" s="48" t="s">
        <v>39</v>
      </c>
      <c r="H9" s="48">
        <v>3</v>
      </c>
      <c r="I9" s="48" t="s">
        <v>40</v>
      </c>
      <c r="J9" s="48" t="s">
        <v>24</v>
      </c>
      <c r="K9" s="48" t="s">
        <v>41</v>
      </c>
      <c r="L9" s="48" t="s">
        <v>42</v>
      </c>
      <c r="M9" s="57" t="s">
        <v>37</v>
      </c>
      <c r="N9" s="56" t="s">
        <v>37</v>
      </c>
      <c r="O9" s="58" t="s">
        <v>37</v>
      </c>
      <c r="P9" s="48" t="s">
        <v>29</v>
      </c>
      <c r="Q9" s="48" t="s">
        <v>30</v>
      </c>
      <c r="R9" s="48" t="s">
        <v>31</v>
      </c>
    </row>
    <row r="10" ht="16" customHeight="1" spans="1:18">
      <c r="A10" s="47" t="s">
        <v>46</v>
      </c>
      <c r="B10" s="48" t="s">
        <v>19</v>
      </c>
      <c r="C10" s="48" t="s">
        <v>38</v>
      </c>
      <c r="D10" s="48" t="s">
        <v>21</v>
      </c>
      <c r="E10" s="48">
        <v>8</v>
      </c>
      <c r="F10" s="49">
        <v>15</v>
      </c>
      <c r="G10" s="48" t="s">
        <v>39</v>
      </c>
      <c r="H10" s="48">
        <v>3</v>
      </c>
      <c r="I10" s="48" t="s">
        <v>40</v>
      </c>
      <c r="J10" s="48" t="s">
        <v>24</v>
      </c>
      <c r="K10" s="48" t="s">
        <v>41</v>
      </c>
      <c r="L10" s="48" t="s">
        <v>42</v>
      </c>
      <c r="M10" s="57" t="s">
        <v>45</v>
      </c>
      <c r="N10" s="56" t="s">
        <v>45</v>
      </c>
      <c r="O10" s="58" t="s">
        <v>45</v>
      </c>
      <c r="P10" s="48" t="s">
        <v>29</v>
      </c>
      <c r="Q10" s="48" t="s">
        <v>30</v>
      </c>
      <c r="R10" s="48" t="s">
        <v>31</v>
      </c>
    </row>
    <row r="11" ht="16" customHeight="1" spans="1:18">
      <c r="A11" s="47" t="s">
        <v>47</v>
      </c>
      <c r="B11" s="48" t="s">
        <v>19</v>
      </c>
      <c r="C11" s="48" t="s">
        <v>38</v>
      </c>
      <c r="D11" s="48" t="s">
        <v>21</v>
      </c>
      <c r="E11" s="48">
        <v>8</v>
      </c>
      <c r="F11" s="49">
        <v>15</v>
      </c>
      <c r="G11" s="48" t="s">
        <v>39</v>
      </c>
      <c r="H11" s="48">
        <v>3</v>
      </c>
      <c r="I11" s="48" t="s">
        <v>40</v>
      </c>
      <c r="J11" s="48" t="s">
        <v>24</v>
      </c>
      <c r="K11" s="48" t="s">
        <v>41</v>
      </c>
      <c r="L11" s="48" t="s">
        <v>42</v>
      </c>
      <c r="M11" s="57" t="s">
        <v>46</v>
      </c>
      <c r="N11" s="56" t="s">
        <v>46</v>
      </c>
      <c r="O11" s="58" t="s">
        <v>46</v>
      </c>
      <c r="P11" s="48" t="s">
        <v>29</v>
      </c>
      <c r="Q11" s="48" t="s">
        <v>30</v>
      </c>
      <c r="R11" s="48" t="s">
        <v>31</v>
      </c>
    </row>
    <row r="12" ht="16" customHeight="1" spans="1:18">
      <c r="A12" s="47" t="s">
        <v>48</v>
      </c>
      <c r="B12" s="48" t="s">
        <v>19</v>
      </c>
      <c r="C12" s="48" t="s">
        <v>38</v>
      </c>
      <c r="D12" s="48" t="s">
        <v>21</v>
      </c>
      <c r="E12" s="48">
        <v>8</v>
      </c>
      <c r="F12" s="49">
        <v>15</v>
      </c>
      <c r="G12" s="48" t="s">
        <v>39</v>
      </c>
      <c r="H12" s="48">
        <v>3</v>
      </c>
      <c r="I12" s="48" t="s">
        <v>40</v>
      </c>
      <c r="J12" s="48" t="s">
        <v>24</v>
      </c>
      <c r="K12" s="48" t="s">
        <v>41</v>
      </c>
      <c r="L12" s="48" t="s">
        <v>42</v>
      </c>
      <c r="M12" s="57" t="s">
        <v>47</v>
      </c>
      <c r="N12" s="56" t="s">
        <v>47</v>
      </c>
      <c r="O12" s="58" t="s">
        <v>47</v>
      </c>
      <c r="P12" s="48" t="s">
        <v>29</v>
      </c>
      <c r="Q12" s="48" t="s">
        <v>30</v>
      </c>
      <c r="R12" s="48" t="s">
        <v>31</v>
      </c>
    </row>
    <row r="13" ht="16" customHeight="1" spans="1:18">
      <c r="A13" s="47" t="s">
        <v>49</v>
      </c>
      <c r="B13" s="48" t="s">
        <v>19</v>
      </c>
      <c r="C13" s="48" t="s">
        <v>38</v>
      </c>
      <c r="D13" s="48" t="s">
        <v>21</v>
      </c>
      <c r="E13" s="48">
        <v>8</v>
      </c>
      <c r="F13" s="49">
        <v>15</v>
      </c>
      <c r="G13" s="48" t="s">
        <v>39</v>
      </c>
      <c r="H13" s="48">
        <v>3</v>
      </c>
      <c r="I13" s="48" t="s">
        <v>40</v>
      </c>
      <c r="J13" s="48" t="s">
        <v>24</v>
      </c>
      <c r="K13" s="48" t="s">
        <v>41</v>
      </c>
      <c r="L13" s="48" t="s">
        <v>42</v>
      </c>
      <c r="M13" s="57" t="s">
        <v>48</v>
      </c>
      <c r="N13" s="56" t="s">
        <v>48</v>
      </c>
      <c r="O13" s="58" t="s">
        <v>48</v>
      </c>
      <c r="P13" s="48" t="s">
        <v>29</v>
      </c>
      <c r="Q13" s="48" t="s">
        <v>30</v>
      </c>
      <c r="R13" s="48" t="s">
        <v>31</v>
      </c>
    </row>
    <row r="14" ht="16" customHeight="1" spans="1:18">
      <c r="A14" s="47" t="s">
        <v>50</v>
      </c>
      <c r="B14" s="48" t="s">
        <v>19</v>
      </c>
      <c r="C14" s="48" t="s">
        <v>38</v>
      </c>
      <c r="D14" s="48" t="s">
        <v>21</v>
      </c>
      <c r="E14" s="48">
        <v>8</v>
      </c>
      <c r="F14" s="49">
        <v>15</v>
      </c>
      <c r="G14" s="48" t="s">
        <v>39</v>
      </c>
      <c r="H14" s="48">
        <v>3</v>
      </c>
      <c r="I14" s="48" t="s">
        <v>40</v>
      </c>
      <c r="J14" s="48" t="s">
        <v>24</v>
      </c>
      <c r="K14" s="48" t="s">
        <v>41</v>
      </c>
      <c r="L14" s="48" t="s">
        <v>42</v>
      </c>
      <c r="M14" s="57" t="s">
        <v>49</v>
      </c>
      <c r="N14" s="56" t="s">
        <v>49</v>
      </c>
      <c r="O14" s="58" t="s">
        <v>49</v>
      </c>
      <c r="P14" s="48" t="s">
        <v>29</v>
      </c>
      <c r="Q14" s="48" t="s">
        <v>30</v>
      </c>
      <c r="R14" s="48" t="s">
        <v>31</v>
      </c>
    </row>
    <row r="15" ht="16" customHeight="1" spans="1:18">
      <c r="A15" s="47" t="s">
        <v>51</v>
      </c>
      <c r="B15" s="48" t="s">
        <v>19</v>
      </c>
      <c r="C15" s="48" t="s">
        <v>38</v>
      </c>
      <c r="D15" s="48" t="s">
        <v>21</v>
      </c>
      <c r="E15" s="48">
        <v>8</v>
      </c>
      <c r="F15" s="49">
        <v>15</v>
      </c>
      <c r="G15" s="48" t="s">
        <v>39</v>
      </c>
      <c r="H15" s="48">
        <v>3</v>
      </c>
      <c r="I15" s="48" t="s">
        <v>40</v>
      </c>
      <c r="J15" s="48" t="s">
        <v>24</v>
      </c>
      <c r="K15" s="48" t="s">
        <v>41</v>
      </c>
      <c r="L15" s="48" t="s">
        <v>42</v>
      </c>
      <c r="M15" s="57" t="s">
        <v>50</v>
      </c>
      <c r="N15" s="56" t="s">
        <v>50</v>
      </c>
      <c r="O15" s="58" t="s">
        <v>50</v>
      </c>
      <c r="P15" s="48" t="s">
        <v>29</v>
      </c>
      <c r="Q15" s="48" t="s">
        <v>30</v>
      </c>
      <c r="R15" s="48" t="s">
        <v>31</v>
      </c>
    </row>
    <row r="16" ht="16" customHeight="1" spans="1:18">
      <c r="A16" s="50" t="s">
        <v>52</v>
      </c>
      <c r="B16" s="51" t="s">
        <v>19</v>
      </c>
      <c r="C16" s="51" t="s">
        <v>53</v>
      </c>
      <c r="D16" s="51" t="s">
        <v>21</v>
      </c>
      <c r="E16" s="51">
        <v>2</v>
      </c>
      <c r="F16" s="49">
        <v>15</v>
      </c>
      <c r="G16" s="51" t="s">
        <v>54</v>
      </c>
      <c r="H16" s="51">
        <v>3</v>
      </c>
      <c r="I16" s="51" t="s">
        <v>55</v>
      </c>
      <c r="J16" s="51" t="s">
        <v>24</v>
      </c>
      <c r="K16" s="51" t="s">
        <v>56</v>
      </c>
      <c r="L16" s="51" t="s">
        <v>57</v>
      </c>
      <c r="M16" s="51" t="s">
        <v>27</v>
      </c>
      <c r="N16" s="56" t="s">
        <v>58</v>
      </c>
      <c r="O16" s="58" t="s">
        <v>36</v>
      </c>
      <c r="P16" s="51" t="s">
        <v>29</v>
      </c>
      <c r="Q16" s="51" t="s">
        <v>30</v>
      </c>
      <c r="R16" s="51" t="s">
        <v>31</v>
      </c>
    </row>
    <row r="17" ht="16" customHeight="1" spans="1:18">
      <c r="A17" s="50" t="s">
        <v>59</v>
      </c>
      <c r="B17" s="51" t="s">
        <v>19</v>
      </c>
      <c r="C17" s="51" t="s">
        <v>53</v>
      </c>
      <c r="D17" s="51" t="s">
        <v>21</v>
      </c>
      <c r="E17" s="51">
        <v>2</v>
      </c>
      <c r="F17" s="49">
        <v>15</v>
      </c>
      <c r="G17" s="51" t="s">
        <v>54</v>
      </c>
      <c r="H17" s="51">
        <v>3</v>
      </c>
      <c r="I17" s="51" t="s">
        <v>55</v>
      </c>
      <c r="J17" s="51" t="s">
        <v>24</v>
      </c>
      <c r="K17" s="51" t="s">
        <v>56</v>
      </c>
      <c r="L17" s="51" t="s">
        <v>57</v>
      </c>
      <c r="M17" s="57" t="s">
        <v>52</v>
      </c>
      <c r="N17" s="56" t="s">
        <v>52</v>
      </c>
      <c r="O17" s="58" t="s">
        <v>52</v>
      </c>
      <c r="P17" s="51" t="s">
        <v>29</v>
      </c>
      <c r="Q17" s="51" t="s">
        <v>30</v>
      </c>
      <c r="R17" s="51" t="s">
        <v>31</v>
      </c>
    </row>
    <row r="18" ht="16" customHeight="1" spans="1:18">
      <c r="A18" s="52" t="s">
        <v>60</v>
      </c>
      <c r="B18" s="53" t="s">
        <v>19</v>
      </c>
      <c r="C18" s="53" t="s">
        <v>61</v>
      </c>
      <c r="D18" s="53" t="s">
        <v>21</v>
      </c>
      <c r="E18" s="53">
        <v>2</v>
      </c>
      <c r="F18" s="54">
        <v>10</v>
      </c>
      <c r="G18" s="53" t="s">
        <v>62</v>
      </c>
      <c r="H18" s="53">
        <v>4</v>
      </c>
      <c r="I18" s="53" t="s">
        <v>63</v>
      </c>
      <c r="J18" s="53" t="s">
        <v>64</v>
      </c>
      <c r="K18" s="53" t="s">
        <v>65</v>
      </c>
      <c r="L18" s="53" t="s">
        <v>65</v>
      </c>
      <c r="M18" s="53" t="s">
        <v>27</v>
      </c>
      <c r="N18" s="56" t="s">
        <v>51</v>
      </c>
      <c r="O18" s="58" t="s">
        <v>36</v>
      </c>
      <c r="P18" s="53" t="s">
        <v>66</v>
      </c>
      <c r="Q18" s="53" t="s">
        <v>67</v>
      </c>
      <c r="R18" s="53" t="s">
        <v>31</v>
      </c>
    </row>
    <row r="19" ht="16" customHeight="1" spans="1:18">
      <c r="A19" s="52" t="s">
        <v>68</v>
      </c>
      <c r="B19" s="53" t="s">
        <v>19</v>
      </c>
      <c r="C19" s="53" t="s">
        <v>61</v>
      </c>
      <c r="D19" s="53" t="s">
        <v>21</v>
      </c>
      <c r="E19" s="53">
        <v>2</v>
      </c>
      <c r="F19" s="54">
        <v>10</v>
      </c>
      <c r="G19" s="53" t="s">
        <v>62</v>
      </c>
      <c r="H19" s="53">
        <v>4</v>
      </c>
      <c r="I19" s="53" t="s">
        <v>63</v>
      </c>
      <c r="J19" s="53" t="s">
        <v>64</v>
      </c>
      <c r="K19" s="53" t="s">
        <v>65</v>
      </c>
      <c r="L19" s="53" t="s">
        <v>65</v>
      </c>
      <c r="M19" s="57" t="s">
        <v>60</v>
      </c>
      <c r="N19" s="56" t="s">
        <v>60</v>
      </c>
      <c r="O19" s="58" t="s">
        <v>60</v>
      </c>
      <c r="P19" s="53" t="s">
        <v>66</v>
      </c>
      <c r="Q19" s="53" t="s">
        <v>67</v>
      </c>
      <c r="R19" s="53" t="s">
        <v>31</v>
      </c>
    </row>
    <row r="20" ht="16" customHeight="1" spans="1:18">
      <c r="A20" s="44" t="s">
        <v>69</v>
      </c>
      <c r="B20" s="45" t="s">
        <v>19</v>
      </c>
      <c r="C20" s="45" t="s">
        <v>70</v>
      </c>
      <c r="D20" s="45" t="s">
        <v>21</v>
      </c>
      <c r="E20" s="45">
        <v>3</v>
      </c>
      <c r="F20" s="46">
        <v>33</v>
      </c>
      <c r="G20" s="45" t="s">
        <v>71</v>
      </c>
      <c r="H20" s="45">
        <v>4</v>
      </c>
      <c r="I20" s="45" t="s">
        <v>72</v>
      </c>
      <c r="J20" s="45" t="s">
        <v>24</v>
      </c>
      <c r="K20" s="45" t="s">
        <v>56</v>
      </c>
      <c r="L20" s="45" t="s">
        <v>73</v>
      </c>
      <c r="M20" s="45" t="s">
        <v>27</v>
      </c>
      <c r="N20" s="56" t="s">
        <v>74</v>
      </c>
      <c r="O20" s="58" t="s">
        <v>75</v>
      </c>
      <c r="P20" s="45" t="s">
        <v>29</v>
      </c>
      <c r="Q20" s="45" t="s">
        <v>30</v>
      </c>
      <c r="R20" s="45" t="s">
        <v>76</v>
      </c>
    </row>
    <row r="21" ht="16" customHeight="1" spans="1:18">
      <c r="A21" s="44" t="s">
        <v>77</v>
      </c>
      <c r="B21" s="45" t="s">
        <v>19</v>
      </c>
      <c r="C21" s="45" t="s">
        <v>70</v>
      </c>
      <c r="D21" s="45" t="s">
        <v>21</v>
      </c>
      <c r="E21" s="45">
        <v>3</v>
      </c>
      <c r="F21" s="46">
        <v>27</v>
      </c>
      <c r="G21" s="45" t="s">
        <v>71</v>
      </c>
      <c r="H21" s="45">
        <v>4</v>
      </c>
      <c r="I21" s="45" t="s">
        <v>72</v>
      </c>
      <c r="J21" s="45" t="s">
        <v>24</v>
      </c>
      <c r="K21" s="45" t="s">
        <v>56</v>
      </c>
      <c r="L21" s="45" t="s">
        <v>73</v>
      </c>
      <c r="M21" s="57" t="s">
        <v>69</v>
      </c>
      <c r="N21" s="56" t="s">
        <v>69</v>
      </c>
      <c r="O21" s="58" t="s">
        <v>69</v>
      </c>
      <c r="P21" s="45" t="s">
        <v>29</v>
      </c>
      <c r="Q21" s="45" t="s">
        <v>30</v>
      </c>
      <c r="R21" s="45" t="s">
        <v>76</v>
      </c>
    </row>
    <row r="22" ht="16" customHeight="1" spans="1:18">
      <c r="A22" s="44" t="s">
        <v>78</v>
      </c>
      <c r="B22" s="45" t="s">
        <v>19</v>
      </c>
      <c r="C22" s="45" t="s">
        <v>70</v>
      </c>
      <c r="D22" s="45" t="s">
        <v>21</v>
      </c>
      <c r="E22" s="45">
        <v>3</v>
      </c>
      <c r="F22" s="46">
        <v>11</v>
      </c>
      <c r="G22" s="45" t="s">
        <v>71</v>
      </c>
      <c r="H22" s="45">
        <v>4</v>
      </c>
      <c r="I22" s="45" t="s">
        <v>72</v>
      </c>
      <c r="J22" s="45" t="s">
        <v>24</v>
      </c>
      <c r="K22" s="45" t="s">
        <v>56</v>
      </c>
      <c r="L22" s="45" t="s">
        <v>73</v>
      </c>
      <c r="M22" s="57" t="s">
        <v>77</v>
      </c>
      <c r="N22" s="56" t="s">
        <v>77</v>
      </c>
      <c r="O22" s="58" t="s">
        <v>77</v>
      </c>
      <c r="P22" s="45" t="s">
        <v>29</v>
      </c>
      <c r="Q22" s="45" t="s">
        <v>30</v>
      </c>
      <c r="R22" s="45" t="s">
        <v>76</v>
      </c>
    </row>
    <row r="23" ht="16" customHeight="1" spans="1:18">
      <c r="A23" s="47" t="s">
        <v>79</v>
      </c>
      <c r="B23" s="48" t="s">
        <v>19</v>
      </c>
      <c r="C23" s="48" t="s">
        <v>80</v>
      </c>
      <c r="D23" s="48" t="s">
        <v>21</v>
      </c>
      <c r="E23" s="48">
        <v>2</v>
      </c>
      <c r="F23" s="49">
        <v>15</v>
      </c>
      <c r="G23" s="48" t="s">
        <v>81</v>
      </c>
      <c r="H23" s="48">
        <v>4</v>
      </c>
      <c r="I23" s="48" t="s">
        <v>82</v>
      </c>
      <c r="J23" s="48" t="s">
        <v>64</v>
      </c>
      <c r="K23" s="48" t="s">
        <v>65</v>
      </c>
      <c r="L23" s="48" t="s">
        <v>56</v>
      </c>
      <c r="M23" s="48" t="s">
        <v>27</v>
      </c>
      <c r="N23" s="56" t="s">
        <v>83</v>
      </c>
      <c r="O23" s="58" t="s">
        <v>84</v>
      </c>
      <c r="P23" s="48" t="s">
        <v>66</v>
      </c>
      <c r="Q23" s="48" t="s">
        <v>67</v>
      </c>
      <c r="R23" s="48" t="s">
        <v>85</v>
      </c>
    </row>
    <row r="24" ht="16" customHeight="1" spans="1:18">
      <c r="A24" s="47" t="s">
        <v>86</v>
      </c>
      <c r="B24" s="48" t="s">
        <v>19</v>
      </c>
      <c r="C24" s="48" t="s">
        <v>80</v>
      </c>
      <c r="D24" s="48" t="s">
        <v>21</v>
      </c>
      <c r="E24" s="48">
        <v>2</v>
      </c>
      <c r="F24" s="49">
        <v>15</v>
      </c>
      <c r="G24" s="48" t="s">
        <v>81</v>
      </c>
      <c r="H24" s="48">
        <v>4</v>
      </c>
      <c r="I24" s="48" t="s">
        <v>82</v>
      </c>
      <c r="J24" s="48" t="s">
        <v>64</v>
      </c>
      <c r="K24" s="48" t="s">
        <v>65</v>
      </c>
      <c r="L24" s="48" t="s">
        <v>56</v>
      </c>
      <c r="M24" s="57" t="s">
        <v>79</v>
      </c>
      <c r="N24" s="56" t="s">
        <v>79</v>
      </c>
      <c r="O24" s="58" t="s">
        <v>79</v>
      </c>
      <c r="P24" s="48" t="s">
        <v>66</v>
      </c>
      <c r="Q24" s="48" t="s">
        <v>67</v>
      </c>
      <c r="R24" s="48" t="s">
        <v>85</v>
      </c>
    </row>
    <row r="25" ht="16" customHeight="1" spans="1:18">
      <c r="A25" s="50" t="s">
        <v>87</v>
      </c>
      <c r="B25" s="51" t="s">
        <v>19</v>
      </c>
      <c r="C25" s="51" t="s">
        <v>88</v>
      </c>
      <c r="D25" s="51" t="s">
        <v>89</v>
      </c>
      <c r="E25" s="51">
        <v>1</v>
      </c>
      <c r="F25" s="55">
        <v>25</v>
      </c>
      <c r="G25" s="51" t="s">
        <v>90</v>
      </c>
      <c r="H25" s="51">
        <v>4</v>
      </c>
      <c r="I25" s="51" t="s">
        <v>55</v>
      </c>
      <c r="J25" s="51" t="s">
        <v>64</v>
      </c>
      <c r="K25" s="51" t="s">
        <v>65</v>
      </c>
      <c r="L25" s="51" t="s">
        <v>56</v>
      </c>
      <c r="M25" s="51" t="s">
        <v>27</v>
      </c>
      <c r="N25" s="51" t="s">
        <v>27</v>
      </c>
      <c r="O25" s="58" t="s">
        <v>91</v>
      </c>
      <c r="P25" s="51" t="s">
        <v>92</v>
      </c>
      <c r="Q25" s="51" t="s">
        <v>93</v>
      </c>
      <c r="R25" s="51" t="s">
        <v>85</v>
      </c>
    </row>
    <row r="26" ht="16" customHeight="1" spans="1:18">
      <c r="A26" s="52" t="s">
        <v>94</v>
      </c>
      <c r="B26" s="53" t="s">
        <v>19</v>
      </c>
      <c r="C26" s="53" t="s">
        <v>95</v>
      </c>
      <c r="D26" s="53" t="s">
        <v>89</v>
      </c>
      <c r="E26" s="53">
        <v>4</v>
      </c>
      <c r="F26" s="55">
        <v>25</v>
      </c>
      <c r="G26" s="53" t="s">
        <v>96</v>
      </c>
      <c r="H26" s="53">
        <v>4</v>
      </c>
      <c r="I26" s="53" t="s">
        <v>55</v>
      </c>
      <c r="J26" s="53" t="s">
        <v>64</v>
      </c>
      <c r="K26" s="53" t="s">
        <v>65</v>
      </c>
      <c r="L26" s="53" t="s">
        <v>56</v>
      </c>
      <c r="M26" s="53" t="s">
        <v>27</v>
      </c>
      <c r="N26" s="53" t="s">
        <v>27</v>
      </c>
      <c r="O26" s="53" t="s">
        <v>27</v>
      </c>
      <c r="P26" s="53" t="s">
        <v>92</v>
      </c>
      <c r="Q26" s="53" t="s">
        <v>93</v>
      </c>
      <c r="R26" s="53" t="s">
        <v>31</v>
      </c>
    </row>
    <row r="27" ht="16" customHeight="1" spans="1:18">
      <c r="A27" s="52" t="s">
        <v>97</v>
      </c>
      <c r="B27" s="53" t="s">
        <v>19</v>
      </c>
      <c r="C27" s="53" t="s">
        <v>95</v>
      </c>
      <c r="D27" s="53" t="s">
        <v>89</v>
      </c>
      <c r="E27" s="53">
        <v>4</v>
      </c>
      <c r="F27" s="55">
        <v>25</v>
      </c>
      <c r="G27" s="53" t="s">
        <v>96</v>
      </c>
      <c r="H27" s="53">
        <v>4</v>
      </c>
      <c r="I27" s="53" t="s">
        <v>55</v>
      </c>
      <c r="J27" s="53" t="s">
        <v>64</v>
      </c>
      <c r="K27" s="53" t="s">
        <v>65</v>
      </c>
      <c r="L27" s="53" t="s">
        <v>56</v>
      </c>
      <c r="M27" s="57" t="s">
        <v>94</v>
      </c>
      <c r="N27" s="56" t="s">
        <v>94</v>
      </c>
      <c r="O27" s="58" t="s">
        <v>94</v>
      </c>
      <c r="P27" s="53" t="s">
        <v>92</v>
      </c>
      <c r="Q27" s="53" t="s">
        <v>93</v>
      </c>
      <c r="R27" s="53" t="s">
        <v>31</v>
      </c>
    </row>
    <row r="28" ht="16" customHeight="1" spans="1:18">
      <c r="A28" s="52" t="s">
        <v>98</v>
      </c>
      <c r="B28" s="53" t="s">
        <v>19</v>
      </c>
      <c r="C28" s="53" t="s">
        <v>95</v>
      </c>
      <c r="D28" s="53" t="s">
        <v>89</v>
      </c>
      <c r="E28" s="53">
        <v>4</v>
      </c>
      <c r="F28" s="55">
        <v>25</v>
      </c>
      <c r="G28" s="53" t="s">
        <v>96</v>
      </c>
      <c r="H28" s="53">
        <v>4</v>
      </c>
      <c r="I28" s="53" t="s">
        <v>55</v>
      </c>
      <c r="J28" s="53" t="s">
        <v>64</v>
      </c>
      <c r="K28" s="53" t="s">
        <v>65</v>
      </c>
      <c r="L28" s="53" t="s">
        <v>56</v>
      </c>
      <c r="M28" s="57" t="s">
        <v>97</v>
      </c>
      <c r="N28" s="56" t="s">
        <v>97</v>
      </c>
      <c r="O28" s="58" t="s">
        <v>97</v>
      </c>
      <c r="P28" s="53" t="s">
        <v>92</v>
      </c>
      <c r="Q28" s="53" t="s">
        <v>93</v>
      </c>
      <c r="R28" s="53" t="s">
        <v>31</v>
      </c>
    </row>
    <row r="29" ht="16" customHeight="1" spans="1:18">
      <c r="A29" s="52" t="s">
        <v>99</v>
      </c>
      <c r="B29" s="53" t="s">
        <v>19</v>
      </c>
      <c r="C29" s="53" t="s">
        <v>95</v>
      </c>
      <c r="D29" s="53" t="s">
        <v>89</v>
      </c>
      <c r="E29" s="53">
        <v>4</v>
      </c>
      <c r="F29" s="55">
        <v>25</v>
      </c>
      <c r="G29" s="53" t="s">
        <v>96</v>
      </c>
      <c r="H29" s="53">
        <v>4</v>
      </c>
      <c r="I29" s="53" t="s">
        <v>55</v>
      </c>
      <c r="J29" s="53" t="s">
        <v>64</v>
      </c>
      <c r="K29" s="53" t="s">
        <v>65</v>
      </c>
      <c r="L29" s="53" t="s">
        <v>56</v>
      </c>
      <c r="M29" s="57" t="s">
        <v>98</v>
      </c>
      <c r="N29" s="56" t="s">
        <v>98</v>
      </c>
      <c r="O29" s="58" t="s">
        <v>98</v>
      </c>
      <c r="P29" s="53" t="s">
        <v>92</v>
      </c>
      <c r="Q29" s="53" t="s">
        <v>93</v>
      </c>
      <c r="R29" s="53" t="s">
        <v>31</v>
      </c>
    </row>
    <row r="30" ht="16" customHeight="1" spans="1:18">
      <c r="A30" s="44" t="s">
        <v>100</v>
      </c>
      <c r="B30" s="45" t="s">
        <v>19</v>
      </c>
      <c r="C30" s="45" t="s">
        <v>101</v>
      </c>
      <c r="D30" s="45" t="s">
        <v>89</v>
      </c>
      <c r="E30" s="45">
        <v>1</v>
      </c>
      <c r="F30" s="46" t="s">
        <v>102</v>
      </c>
      <c r="G30" s="45" t="s">
        <v>103</v>
      </c>
      <c r="H30" s="45">
        <v>4</v>
      </c>
      <c r="I30" s="45" t="s">
        <v>82</v>
      </c>
      <c r="J30" s="45" t="s">
        <v>64</v>
      </c>
      <c r="K30" s="45" t="s">
        <v>104</v>
      </c>
      <c r="L30" s="45" t="s">
        <v>105</v>
      </c>
      <c r="M30" s="45" t="s">
        <v>27</v>
      </c>
      <c r="N30" s="45" t="s">
        <v>27</v>
      </c>
      <c r="O30" s="58" t="s">
        <v>91</v>
      </c>
      <c r="P30" s="45" t="s">
        <v>92</v>
      </c>
      <c r="Q30" s="45" t="s">
        <v>93</v>
      </c>
      <c r="R30" s="45" t="s">
        <v>31</v>
      </c>
    </row>
    <row r="31" ht="16" customHeight="1" spans="1:18">
      <c r="A31" s="47" t="s">
        <v>106</v>
      </c>
      <c r="B31" s="48" t="s">
        <v>19</v>
      </c>
      <c r="C31" s="48" t="s">
        <v>107</v>
      </c>
      <c r="D31" s="48" t="s">
        <v>89</v>
      </c>
      <c r="E31" s="48">
        <v>2</v>
      </c>
      <c r="F31" s="46" t="s">
        <v>102</v>
      </c>
      <c r="G31" s="48" t="s">
        <v>108</v>
      </c>
      <c r="H31" s="48">
        <v>4</v>
      </c>
      <c r="I31" s="48" t="s">
        <v>63</v>
      </c>
      <c r="J31" s="48" t="s">
        <v>64</v>
      </c>
      <c r="K31" s="48" t="s">
        <v>104</v>
      </c>
      <c r="L31" s="48" t="s">
        <v>105</v>
      </c>
      <c r="M31" s="48" t="s">
        <v>27</v>
      </c>
      <c r="N31" s="48" t="s">
        <v>27</v>
      </c>
      <c r="O31" s="48" t="s">
        <v>27</v>
      </c>
      <c r="P31" s="48" t="s">
        <v>92</v>
      </c>
      <c r="Q31" s="48" t="s">
        <v>93</v>
      </c>
      <c r="R31" s="48" t="s">
        <v>31</v>
      </c>
    </row>
    <row r="32" ht="16" customHeight="1" spans="1:18">
      <c r="A32" s="47" t="s">
        <v>109</v>
      </c>
      <c r="B32" s="48" t="s">
        <v>19</v>
      </c>
      <c r="C32" s="48" t="s">
        <v>107</v>
      </c>
      <c r="D32" s="48" t="s">
        <v>89</v>
      </c>
      <c r="E32" s="48">
        <v>2</v>
      </c>
      <c r="F32" s="46" t="s">
        <v>102</v>
      </c>
      <c r="G32" s="48" t="s">
        <v>108</v>
      </c>
      <c r="H32" s="48">
        <v>4</v>
      </c>
      <c r="I32" s="48" t="s">
        <v>63</v>
      </c>
      <c r="J32" s="48" t="s">
        <v>64</v>
      </c>
      <c r="K32" s="48" t="s">
        <v>104</v>
      </c>
      <c r="L32" s="48" t="s">
        <v>105</v>
      </c>
      <c r="M32" s="57" t="s">
        <v>106</v>
      </c>
      <c r="N32" s="56" t="s">
        <v>106</v>
      </c>
      <c r="O32" s="58" t="s">
        <v>106</v>
      </c>
      <c r="P32" s="48" t="s">
        <v>92</v>
      </c>
      <c r="Q32" s="48" t="s">
        <v>93</v>
      </c>
      <c r="R32" s="48" t="s">
        <v>31</v>
      </c>
    </row>
    <row r="33" ht="16" customHeight="1" spans="1:18">
      <c r="A33" s="50" t="s">
        <v>110</v>
      </c>
      <c r="B33" s="51" t="s">
        <v>19</v>
      </c>
      <c r="C33" s="51" t="s">
        <v>111</v>
      </c>
      <c r="D33" s="51" t="s">
        <v>112</v>
      </c>
      <c r="E33" s="51">
        <v>2</v>
      </c>
      <c r="F33" s="55">
        <v>42</v>
      </c>
      <c r="G33" s="51" t="s">
        <v>113</v>
      </c>
      <c r="H33" s="51">
        <v>1</v>
      </c>
      <c r="I33" s="51" t="s">
        <v>23</v>
      </c>
      <c r="J33" s="51" t="s">
        <v>24</v>
      </c>
      <c r="K33" s="51" t="s">
        <v>65</v>
      </c>
      <c r="L33" s="51" t="s">
        <v>114</v>
      </c>
      <c r="M33" s="51" t="s">
        <v>27</v>
      </c>
      <c r="N33" s="51" t="s">
        <v>27</v>
      </c>
      <c r="O33" s="58" t="s">
        <v>115</v>
      </c>
      <c r="P33" s="51" t="s">
        <v>116</v>
      </c>
      <c r="Q33" s="51" t="s">
        <v>117</v>
      </c>
      <c r="R33" s="51" t="s">
        <v>31</v>
      </c>
    </row>
    <row r="34" ht="16" customHeight="1" spans="1:18">
      <c r="A34" s="50" t="s">
        <v>118</v>
      </c>
      <c r="B34" s="51" t="s">
        <v>19</v>
      </c>
      <c r="C34" s="51" t="s">
        <v>111</v>
      </c>
      <c r="D34" s="51" t="s">
        <v>112</v>
      </c>
      <c r="E34" s="51">
        <v>2</v>
      </c>
      <c r="F34" s="55">
        <v>42</v>
      </c>
      <c r="G34" s="51" t="s">
        <v>113</v>
      </c>
      <c r="H34" s="51">
        <v>1</v>
      </c>
      <c r="I34" s="51" t="s">
        <v>23</v>
      </c>
      <c r="J34" s="51" t="s">
        <v>24</v>
      </c>
      <c r="K34" s="51" t="s">
        <v>65</v>
      </c>
      <c r="L34" s="51" t="s">
        <v>114</v>
      </c>
      <c r="M34" s="57" t="s">
        <v>110</v>
      </c>
      <c r="N34" s="56" t="s">
        <v>110</v>
      </c>
      <c r="O34" s="58" t="s">
        <v>110</v>
      </c>
      <c r="P34" s="51" t="s">
        <v>116</v>
      </c>
      <c r="Q34" s="51" t="s">
        <v>117</v>
      </c>
      <c r="R34" s="51" t="s">
        <v>31</v>
      </c>
    </row>
    <row r="35" ht="16" customHeight="1" spans="1:18">
      <c r="A35" s="52" t="s">
        <v>119</v>
      </c>
      <c r="B35" s="53" t="s">
        <v>19</v>
      </c>
      <c r="C35" s="53" t="s">
        <v>120</v>
      </c>
      <c r="D35" s="53" t="s">
        <v>112</v>
      </c>
      <c r="E35" s="53">
        <v>3</v>
      </c>
      <c r="F35" s="54">
        <v>15</v>
      </c>
      <c r="G35" s="53" t="s">
        <v>121</v>
      </c>
      <c r="H35" s="53">
        <v>1</v>
      </c>
      <c r="I35" s="53" t="s">
        <v>72</v>
      </c>
      <c r="J35" s="53" t="s">
        <v>64</v>
      </c>
      <c r="K35" s="53" t="s">
        <v>104</v>
      </c>
      <c r="L35" s="53" t="s">
        <v>105</v>
      </c>
      <c r="M35" s="53" t="s">
        <v>27</v>
      </c>
      <c r="N35" s="53" t="s">
        <v>27</v>
      </c>
      <c r="O35" s="53" t="s">
        <v>27</v>
      </c>
      <c r="P35" s="53" t="s">
        <v>122</v>
      </c>
      <c r="Q35" s="53" t="s">
        <v>123</v>
      </c>
      <c r="R35" s="53" t="s">
        <v>85</v>
      </c>
    </row>
    <row r="36" ht="16" customHeight="1" spans="1:18">
      <c r="A36" s="52" t="s">
        <v>124</v>
      </c>
      <c r="B36" s="53" t="s">
        <v>19</v>
      </c>
      <c r="C36" s="53" t="s">
        <v>120</v>
      </c>
      <c r="D36" s="53" t="s">
        <v>112</v>
      </c>
      <c r="E36" s="53">
        <v>3</v>
      </c>
      <c r="F36" s="54">
        <v>15</v>
      </c>
      <c r="G36" s="53" t="s">
        <v>121</v>
      </c>
      <c r="H36" s="53">
        <v>1</v>
      </c>
      <c r="I36" s="53" t="s">
        <v>72</v>
      </c>
      <c r="J36" s="53" t="s">
        <v>64</v>
      </c>
      <c r="K36" s="53" t="s">
        <v>104</v>
      </c>
      <c r="L36" s="53" t="s">
        <v>105</v>
      </c>
      <c r="M36" s="57" t="s">
        <v>119</v>
      </c>
      <c r="N36" s="56" t="s">
        <v>119</v>
      </c>
      <c r="O36" s="58" t="s">
        <v>119</v>
      </c>
      <c r="P36" s="53" t="s">
        <v>122</v>
      </c>
      <c r="Q36" s="53" t="s">
        <v>123</v>
      </c>
      <c r="R36" s="53" t="s">
        <v>85</v>
      </c>
    </row>
    <row r="37" ht="16" customHeight="1" spans="1:18">
      <c r="A37" s="52" t="s">
        <v>125</v>
      </c>
      <c r="B37" s="53" t="s">
        <v>19</v>
      </c>
      <c r="C37" s="53" t="s">
        <v>120</v>
      </c>
      <c r="D37" s="53" t="s">
        <v>112</v>
      </c>
      <c r="E37" s="53">
        <v>3</v>
      </c>
      <c r="F37" s="54">
        <v>15</v>
      </c>
      <c r="G37" s="53" t="s">
        <v>121</v>
      </c>
      <c r="H37" s="53">
        <v>1</v>
      </c>
      <c r="I37" s="53" t="s">
        <v>72</v>
      </c>
      <c r="J37" s="53" t="s">
        <v>64</v>
      </c>
      <c r="K37" s="53" t="s">
        <v>104</v>
      </c>
      <c r="L37" s="53" t="s">
        <v>105</v>
      </c>
      <c r="M37" s="57" t="s">
        <v>124</v>
      </c>
      <c r="N37" s="56" t="s">
        <v>124</v>
      </c>
      <c r="O37" s="58" t="s">
        <v>124</v>
      </c>
      <c r="P37" s="53" t="s">
        <v>122</v>
      </c>
      <c r="Q37" s="53" t="s">
        <v>123</v>
      </c>
      <c r="R37" s="53" t="s">
        <v>85</v>
      </c>
    </row>
    <row r="38" ht="16" customHeight="1" spans="1:18">
      <c r="A38" s="44" t="s">
        <v>126</v>
      </c>
      <c r="B38" s="45" t="s">
        <v>19</v>
      </c>
      <c r="C38" s="45" t="s">
        <v>127</v>
      </c>
      <c r="D38" s="45" t="s">
        <v>112</v>
      </c>
      <c r="E38" s="45">
        <v>1</v>
      </c>
      <c r="F38" s="46" t="s">
        <v>128</v>
      </c>
      <c r="G38" s="45" t="s">
        <v>129</v>
      </c>
      <c r="H38" s="45">
        <v>1</v>
      </c>
      <c r="I38" s="45" t="s">
        <v>55</v>
      </c>
      <c r="J38" s="45" t="s">
        <v>24</v>
      </c>
      <c r="K38" s="45" t="s">
        <v>56</v>
      </c>
      <c r="L38" s="45" t="s">
        <v>57</v>
      </c>
      <c r="M38" s="45" t="s">
        <v>27</v>
      </c>
      <c r="N38" s="45" t="s">
        <v>27</v>
      </c>
      <c r="O38" s="58" t="s">
        <v>130</v>
      </c>
      <c r="P38" s="45" t="s">
        <v>116</v>
      </c>
      <c r="Q38" s="45" t="s">
        <v>117</v>
      </c>
      <c r="R38" s="45" t="s">
        <v>31</v>
      </c>
    </row>
    <row r="39" ht="16" customHeight="1" spans="1:18">
      <c r="A39" s="47" t="s">
        <v>131</v>
      </c>
      <c r="B39" s="48" t="s">
        <v>19</v>
      </c>
      <c r="C39" s="48" t="s">
        <v>132</v>
      </c>
      <c r="D39" s="48" t="s">
        <v>112</v>
      </c>
      <c r="E39" s="48">
        <v>4</v>
      </c>
      <c r="F39" s="49">
        <v>23</v>
      </c>
      <c r="G39" s="48" t="s">
        <v>133</v>
      </c>
      <c r="H39" s="48">
        <v>1</v>
      </c>
      <c r="I39" s="48" t="s">
        <v>55</v>
      </c>
      <c r="J39" s="48" t="s">
        <v>64</v>
      </c>
      <c r="K39" s="48" t="s">
        <v>134</v>
      </c>
      <c r="L39" s="48" t="s">
        <v>114</v>
      </c>
      <c r="M39" s="48" t="s">
        <v>27</v>
      </c>
      <c r="N39" s="48" t="s">
        <v>27</v>
      </c>
      <c r="O39" s="58" t="s">
        <v>125</v>
      </c>
      <c r="P39" s="48" t="s">
        <v>116</v>
      </c>
      <c r="Q39" s="48" t="s">
        <v>117</v>
      </c>
      <c r="R39" s="48" t="s">
        <v>85</v>
      </c>
    </row>
    <row r="40" ht="16" customHeight="1" spans="1:18">
      <c r="A40" s="47" t="s">
        <v>135</v>
      </c>
      <c r="B40" s="48" t="s">
        <v>19</v>
      </c>
      <c r="C40" s="48" t="s">
        <v>132</v>
      </c>
      <c r="D40" s="48" t="s">
        <v>112</v>
      </c>
      <c r="E40" s="48">
        <v>4</v>
      </c>
      <c r="F40" s="49">
        <v>23</v>
      </c>
      <c r="G40" s="48" t="s">
        <v>133</v>
      </c>
      <c r="H40" s="48">
        <v>1</v>
      </c>
      <c r="I40" s="48" t="s">
        <v>55</v>
      </c>
      <c r="J40" s="48" t="s">
        <v>64</v>
      </c>
      <c r="K40" s="48" t="s">
        <v>134</v>
      </c>
      <c r="L40" s="48" t="s">
        <v>114</v>
      </c>
      <c r="M40" s="57" t="s">
        <v>131</v>
      </c>
      <c r="N40" s="56" t="s">
        <v>131</v>
      </c>
      <c r="O40" s="58" t="s">
        <v>131</v>
      </c>
      <c r="P40" s="48" t="s">
        <v>116</v>
      </c>
      <c r="Q40" s="48" t="s">
        <v>117</v>
      </c>
      <c r="R40" s="48" t="s">
        <v>85</v>
      </c>
    </row>
    <row r="41" ht="16" customHeight="1" spans="1:18">
      <c r="A41" s="47" t="s">
        <v>136</v>
      </c>
      <c r="B41" s="48" t="s">
        <v>19</v>
      </c>
      <c r="C41" s="48" t="s">
        <v>132</v>
      </c>
      <c r="D41" s="48" t="s">
        <v>112</v>
      </c>
      <c r="E41" s="48">
        <v>4</v>
      </c>
      <c r="F41" s="49">
        <v>23</v>
      </c>
      <c r="G41" s="48" t="s">
        <v>133</v>
      </c>
      <c r="H41" s="48">
        <v>1</v>
      </c>
      <c r="I41" s="48" t="s">
        <v>55</v>
      </c>
      <c r="J41" s="48" t="s">
        <v>64</v>
      </c>
      <c r="K41" s="48" t="s">
        <v>134</v>
      </c>
      <c r="L41" s="48" t="s">
        <v>114</v>
      </c>
      <c r="M41" s="57" t="s">
        <v>135</v>
      </c>
      <c r="N41" s="56" t="s">
        <v>135</v>
      </c>
      <c r="O41" s="58" t="s">
        <v>135</v>
      </c>
      <c r="P41" s="48" t="s">
        <v>116</v>
      </c>
      <c r="Q41" s="48" t="s">
        <v>117</v>
      </c>
      <c r="R41" s="48" t="s">
        <v>85</v>
      </c>
    </row>
    <row r="42" ht="16" customHeight="1" spans="1:18">
      <c r="A42" s="47" t="s">
        <v>130</v>
      </c>
      <c r="B42" s="48" t="s">
        <v>19</v>
      </c>
      <c r="C42" s="48" t="s">
        <v>132</v>
      </c>
      <c r="D42" s="48" t="s">
        <v>112</v>
      </c>
      <c r="E42" s="48">
        <v>4</v>
      </c>
      <c r="F42" s="49">
        <v>23</v>
      </c>
      <c r="G42" s="48" t="s">
        <v>133</v>
      </c>
      <c r="H42" s="48">
        <v>1</v>
      </c>
      <c r="I42" s="48" t="s">
        <v>55</v>
      </c>
      <c r="J42" s="48" t="s">
        <v>64</v>
      </c>
      <c r="K42" s="48" t="s">
        <v>134</v>
      </c>
      <c r="L42" s="48" t="s">
        <v>114</v>
      </c>
      <c r="M42" s="57" t="s">
        <v>136</v>
      </c>
      <c r="N42" s="56" t="s">
        <v>136</v>
      </c>
      <c r="O42" s="58" t="s">
        <v>136</v>
      </c>
      <c r="P42" s="48" t="s">
        <v>116</v>
      </c>
      <c r="Q42" s="48" t="s">
        <v>117</v>
      </c>
      <c r="R42" s="48" t="s">
        <v>85</v>
      </c>
    </row>
    <row r="43" ht="16" customHeight="1" spans="1:18">
      <c r="A43" s="50" t="s">
        <v>137</v>
      </c>
      <c r="B43" s="51" t="s">
        <v>19</v>
      </c>
      <c r="C43" s="51" t="s">
        <v>138</v>
      </c>
      <c r="D43" s="51" t="s">
        <v>112</v>
      </c>
      <c r="E43" s="51">
        <v>1</v>
      </c>
      <c r="F43" s="55" t="s">
        <v>139</v>
      </c>
      <c r="G43" s="51" t="s">
        <v>140</v>
      </c>
      <c r="H43" s="51">
        <v>5</v>
      </c>
      <c r="I43" s="51" t="s">
        <v>82</v>
      </c>
      <c r="J43" s="51" t="s">
        <v>64</v>
      </c>
      <c r="K43" s="51" t="s">
        <v>141</v>
      </c>
      <c r="L43" s="51" t="s">
        <v>141</v>
      </c>
      <c r="M43" s="51" t="s">
        <v>27</v>
      </c>
      <c r="N43" s="56" t="s">
        <v>130</v>
      </c>
      <c r="O43" s="58" t="s">
        <v>130</v>
      </c>
      <c r="P43" s="51" t="s">
        <v>122</v>
      </c>
      <c r="Q43" s="51" t="s">
        <v>123</v>
      </c>
      <c r="R43" s="51" t="s">
        <v>31</v>
      </c>
    </row>
    <row r="44" ht="16" customHeight="1" spans="1:18">
      <c r="A44" s="52" t="s">
        <v>142</v>
      </c>
      <c r="B44" s="53" t="s">
        <v>19</v>
      </c>
      <c r="C44" s="53" t="s">
        <v>143</v>
      </c>
      <c r="D44" s="53" t="s">
        <v>112</v>
      </c>
      <c r="E44" s="53">
        <v>1</v>
      </c>
      <c r="F44" s="54" t="s">
        <v>144</v>
      </c>
      <c r="G44" s="53" t="s">
        <v>103</v>
      </c>
      <c r="H44" s="53">
        <v>1</v>
      </c>
      <c r="I44" s="53" t="s">
        <v>82</v>
      </c>
      <c r="J44" s="53" t="s">
        <v>64</v>
      </c>
      <c r="K44" s="53" t="s">
        <v>104</v>
      </c>
      <c r="L44" s="53" t="s">
        <v>105</v>
      </c>
      <c r="M44" s="53" t="s">
        <v>27</v>
      </c>
      <c r="N44" s="53" t="s">
        <v>27</v>
      </c>
      <c r="O44" s="58" t="s">
        <v>130</v>
      </c>
      <c r="P44" s="53" t="s">
        <v>122</v>
      </c>
      <c r="Q44" s="53" t="s">
        <v>123</v>
      </c>
      <c r="R44" s="53" t="s">
        <v>85</v>
      </c>
    </row>
    <row r="45" ht="16" customHeight="1" spans="1:18">
      <c r="A45" s="44" t="s">
        <v>145</v>
      </c>
      <c r="B45" s="45" t="s">
        <v>19</v>
      </c>
      <c r="C45" s="45" t="s">
        <v>146</v>
      </c>
      <c r="D45" s="45" t="s">
        <v>21</v>
      </c>
      <c r="E45" s="45">
        <v>2</v>
      </c>
      <c r="F45" s="46">
        <v>10</v>
      </c>
      <c r="G45" s="45" t="s">
        <v>147</v>
      </c>
      <c r="H45" s="45">
        <v>2</v>
      </c>
      <c r="I45" s="45" t="s">
        <v>148</v>
      </c>
      <c r="J45" s="45" t="s">
        <v>64</v>
      </c>
      <c r="K45" s="45" t="s">
        <v>65</v>
      </c>
      <c r="L45" s="45" t="s">
        <v>56</v>
      </c>
      <c r="M45" s="45" t="s">
        <v>27</v>
      </c>
      <c r="N45" s="45" t="s">
        <v>27</v>
      </c>
      <c r="O45" s="58" t="s">
        <v>149</v>
      </c>
      <c r="P45" s="45" t="s">
        <v>66</v>
      </c>
      <c r="Q45" s="45" t="s">
        <v>67</v>
      </c>
      <c r="R45" s="45" t="s">
        <v>31</v>
      </c>
    </row>
    <row r="46" ht="16" customHeight="1" spans="1:18">
      <c r="A46" s="44" t="s">
        <v>150</v>
      </c>
      <c r="B46" s="45" t="s">
        <v>19</v>
      </c>
      <c r="C46" s="45" t="s">
        <v>146</v>
      </c>
      <c r="D46" s="45" t="s">
        <v>21</v>
      </c>
      <c r="E46" s="45">
        <v>2</v>
      </c>
      <c r="F46" s="46">
        <v>10</v>
      </c>
      <c r="G46" s="45" t="s">
        <v>147</v>
      </c>
      <c r="H46" s="45">
        <v>2</v>
      </c>
      <c r="I46" s="45" t="s">
        <v>148</v>
      </c>
      <c r="J46" s="45" t="s">
        <v>64</v>
      </c>
      <c r="K46" s="45" t="s">
        <v>65</v>
      </c>
      <c r="L46" s="45" t="s">
        <v>56</v>
      </c>
      <c r="M46" s="57" t="s">
        <v>145</v>
      </c>
      <c r="N46" s="56" t="s">
        <v>145</v>
      </c>
      <c r="O46" s="58" t="s">
        <v>145</v>
      </c>
      <c r="P46" s="45" t="s">
        <v>66</v>
      </c>
      <c r="Q46" s="45" t="s">
        <v>67</v>
      </c>
      <c r="R46" s="45" t="s">
        <v>31</v>
      </c>
    </row>
    <row r="47" ht="16" customHeight="1" spans="1:18">
      <c r="A47" s="47" t="s">
        <v>151</v>
      </c>
      <c r="B47" s="48" t="s">
        <v>19</v>
      </c>
      <c r="C47" s="48" t="s">
        <v>152</v>
      </c>
      <c r="D47" s="48" t="s">
        <v>21</v>
      </c>
      <c r="E47" s="48">
        <v>1</v>
      </c>
      <c r="F47" s="49" t="s">
        <v>153</v>
      </c>
      <c r="G47" s="48" t="s">
        <v>154</v>
      </c>
      <c r="H47" s="48">
        <v>2</v>
      </c>
      <c r="I47" s="48" t="s">
        <v>63</v>
      </c>
      <c r="J47" s="48" t="s">
        <v>64</v>
      </c>
      <c r="K47" s="48" t="s">
        <v>141</v>
      </c>
      <c r="L47" s="48" t="s">
        <v>104</v>
      </c>
      <c r="M47" s="48" t="s">
        <v>27</v>
      </c>
      <c r="N47" s="48" t="s">
        <v>27</v>
      </c>
      <c r="O47" s="58" t="s">
        <v>149</v>
      </c>
      <c r="P47" s="48" t="s">
        <v>66</v>
      </c>
      <c r="Q47" s="48" t="s">
        <v>67</v>
      </c>
      <c r="R47" s="48" t="s">
        <v>31</v>
      </c>
    </row>
    <row r="48" ht="16" customHeight="1" spans="1:18">
      <c r="A48" s="50" t="s">
        <v>155</v>
      </c>
      <c r="B48" s="51" t="s">
        <v>19</v>
      </c>
      <c r="C48" s="51" t="s">
        <v>156</v>
      </c>
      <c r="D48" s="51" t="s">
        <v>21</v>
      </c>
      <c r="E48" s="51">
        <v>1</v>
      </c>
      <c r="F48" s="55" t="s">
        <v>139</v>
      </c>
      <c r="G48" s="51" t="s">
        <v>157</v>
      </c>
      <c r="H48" s="51">
        <v>2</v>
      </c>
      <c r="I48" s="51" t="s">
        <v>82</v>
      </c>
      <c r="J48" s="51" t="s">
        <v>64</v>
      </c>
      <c r="K48" s="51" t="s">
        <v>141</v>
      </c>
      <c r="L48" s="51" t="s">
        <v>141</v>
      </c>
      <c r="M48" s="51" t="s">
        <v>27</v>
      </c>
      <c r="N48" s="51" t="s">
        <v>27</v>
      </c>
      <c r="O48" s="58" t="s">
        <v>158</v>
      </c>
      <c r="P48" s="51" t="s">
        <v>66</v>
      </c>
      <c r="Q48" s="51" t="s">
        <v>67</v>
      </c>
      <c r="R48" s="51" t="s">
        <v>31</v>
      </c>
    </row>
    <row r="49" ht="16" customHeight="1" spans="1:18">
      <c r="A49" s="52" t="s">
        <v>159</v>
      </c>
      <c r="B49" s="53" t="s">
        <v>19</v>
      </c>
      <c r="C49" s="53" t="s">
        <v>160</v>
      </c>
      <c r="D49" s="53" t="s">
        <v>161</v>
      </c>
      <c r="E49" s="53">
        <v>1</v>
      </c>
      <c r="F49" s="54" t="s">
        <v>102</v>
      </c>
      <c r="G49" s="53" t="s">
        <v>162</v>
      </c>
      <c r="H49" s="53">
        <v>2</v>
      </c>
      <c r="I49" s="53" t="s">
        <v>82</v>
      </c>
      <c r="J49" s="53" t="s">
        <v>64</v>
      </c>
      <c r="K49" s="53" t="s">
        <v>104</v>
      </c>
      <c r="L49" s="53" t="s">
        <v>65</v>
      </c>
      <c r="M49" s="53" t="s">
        <v>27</v>
      </c>
      <c r="N49" s="53" t="s">
        <v>27</v>
      </c>
      <c r="O49" s="58" t="s">
        <v>158</v>
      </c>
      <c r="P49" s="53" t="s">
        <v>163</v>
      </c>
      <c r="Q49" s="53" t="s">
        <v>164</v>
      </c>
      <c r="R49" s="53" t="s">
        <v>85</v>
      </c>
    </row>
    <row r="50" ht="16" customHeight="1" spans="1:18">
      <c r="A50" s="44" t="s">
        <v>165</v>
      </c>
      <c r="B50" s="45" t="s">
        <v>19</v>
      </c>
      <c r="C50" s="45" t="s">
        <v>166</v>
      </c>
      <c r="D50" s="45" t="s">
        <v>21</v>
      </c>
      <c r="E50" s="45">
        <v>2</v>
      </c>
      <c r="F50" s="46">
        <v>15</v>
      </c>
      <c r="G50" s="45" t="s">
        <v>167</v>
      </c>
      <c r="H50" s="45">
        <v>2</v>
      </c>
      <c r="I50" s="45" t="s">
        <v>72</v>
      </c>
      <c r="J50" s="45" t="s">
        <v>64</v>
      </c>
      <c r="K50" s="45" t="s">
        <v>65</v>
      </c>
      <c r="L50" s="45" t="s">
        <v>56</v>
      </c>
      <c r="M50" s="45" t="s">
        <v>27</v>
      </c>
      <c r="N50" s="45" t="s">
        <v>27</v>
      </c>
      <c r="O50" s="58" t="s">
        <v>168</v>
      </c>
      <c r="P50" s="45" t="s">
        <v>66</v>
      </c>
      <c r="Q50" s="45" t="s">
        <v>67</v>
      </c>
      <c r="R50" s="45" t="s">
        <v>169</v>
      </c>
    </row>
    <row r="51" ht="16" customHeight="1" spans="1:18">
      <c r="A51" s="44" t="s">
        <v>158</v>
      </c>
      <c r="B51" s="45" t="s">
        <v>19</v>
      </c>
      <c r="C51" s="45" t="s">
        <v>166</v>
      </c>
      <c r="D51" s="45" t="s">
        <v>21</v>
      </c>
      <c r="E51" s="45">
        <v>2</v>
      </c>
      <c r="F51" s="46">
        <v>15</v>
      </c>
      <c r="G51" s="45" t="s">
        <v>167</v>
      </c>
      <c r="H51" s="45">
        <v>2</v>
      </c>
      <c r="I51" s="45" t="s">
        <v>72</v>
      </c>
      <c r="J51" s="45" t="s">
        <v>64</v>
      </c>
      <c r="K51" s="45" t="s">
        <v>65</v>
      </c>
      <c r="L51" s="45" t="s">
        <v>56</v>
      </c>
      <c r="M51" s="57" t="s">
        <v>165</v>
      </c>
      <c r="N51" s="56" t="s">
        <v>165</v>
      </c>
      <c r="O51" s="58" t="s">
        <v>165</v>
      </c>
      <c r="P51" s="45" t="s">
        <v>66</v>
      </c>
      <c r="Q51" s="45" t="s">
        <v>67</v>
      </c>
      <c r="R51" s="45" t="s">
        <v>169</v>
      </c>
    </row>
    <row r="52" ht="16" customHeight="1" spans="1:18">
      <c r="A52" s="47" t="s">
        <v>170</v>
      </c>
      <c r="B52" s="48" t="s">
        <v>19</v>
      </c>
      <c r="C52" s="48" t="s">
        <v>171</v>
      </c>
      <c r="D52" s="48" t="s">
        <v>21</v>
      </c>
      <c r="E52" s="48">
        <v>1</v>
      </c>
      <c r="F52" s="49" t="s">
        <v>144</v>
      </c>
      <c r="G52" s="48" t="s">
        <v>172</v>
      </c>
      <c r="H52" s="48">
        <v>4</v>
      </c>
      <c r="I52" s="48" t="s">
        <v>148</v>
      </c>
      <c r="J52" s="48" t="s">
        <v>64</v>
      </c>
      <c r="K52" s="48" t="s">
        <v>65</v>
      </c>
      <c r="L52" s="48" t="s">
        <v>134</v>
      </c>
      <c r="M52" s="48" t="s">
        <v>27</v>
      </c>
      <c r="N52" s="56" t="s">
        <v>51</v>
      </c>
      <c r="O52" s="58" t="s">
        <v>84</v>
      </c>
      <c r="P52" s="48" t="s">
        <v>66</v>
      </c>
      <c r="Q52" s="48" t="s">
        <v>67</v>
      </c>
      <c r="R52" s="48" t="s">
        <v>31</v>
      </c>
    </row>
    <row r="53" ht="16" customHeight="1" spans="1:18">
      <c r="A53" s="50" t="s">
        <v>173</v>
      </c>
      <c r="B53" s="51" t="s">
        <v>19</v>
      </c>
      <c r="C53" s="51" t="s">
        <v>174</v>
      </c>
      <c r="D53" s="51" t="s">
        <v>21</v>
      </c>
      <c r="E53" s="51">
        <v>1</v>
      </c>
      <c r="F53" s="55" t="s">
        <v>144</v>
      </c>
      <c r="G53" s="51" t="s">
        <v>175</v>
      </c>
      <c r="H53" s="51">
        <v>2</v>
      </c>
      <c r="I53" s="51" t="s">
        <v>82</v>
      </c>
      <c r="J53" s="51" t="s">
        <v>64</v>
      </c>
      <c r="K53" s="51" t="s">
        <v>141</v>
      </c>
      <c r="L53" s="51" t="s">
        <v>104</v>
      </c>
      <c r="M53" s="51" t="s">
        <v>27</v>
      </c>
      <c r="N53" s="51" t="s">
        <v>27</v>
      </c>
      <c r="O53" s="58" t="s">
        <v>151</v>
      </c>
      <c r="P53" s="51" t="s">
        <v>66</v>
      </c>
      <c r="Q53" s="51" t="s">
        <v>67</v>
      </c>
      <c r="R53" s="51" t="s">
        <v>31</v>
      </c>
    </row>
    <row r="54" ht="16" customHeight="1" spans="1:18">
      <c r="A54" s="52" t="s">
        <v>176</v>
      </c>
      <c r="B54" s="53" t="s">
        <v>19</v>
      </c>
      <c r="C54" s="53" t="s">
        <v>177</v>
      </c>
      <c r="D54" s="53" t="s">
        <v>89</v>
      </c>
      <c r="E54" s="53">
        <v>1</v>
      </c>
      <c r="F54" s="54" t="s">
        <v>178</v>
      </c>
      <c r="G54" s="53" t="s">
        <v>179</v>
      </c>
      <c r="H54" s="53">
        <v>4</v>
      </c>
      <c r="I54" s="53" t="s">
        <v>63</v>
      </c>
      <c r="J54" s="53" t="s">
        <v>64</v>
      </c>
      <c r="K54" s="53" t="s">
        <v>141</v>
      </c>
      <c r="L54" s="53" t="s">
        <v>104</v>
      </c>
      <c r="M54" s="53" t="s">
        <v>27</v>
      </c>
      <c r="N54" s="53" t="s">
        <v>27</v>
      </c>
      <c r="O54" s="58" t="s">
        <v>180</v>
      </c>
      <c r="P54" s="53" t="s">
        <v>92</v>
      </c>
      <c r="Q54" s="53" t="s">
        <v>93</v>
      </c>
      <c r="R54" s="53" t="s">
        <v>31</v>
      </c>
    </row>
    <row r="55" ht="16" customHeight="1" spans="1:18">
      <c r="A55" s="44" t="s">
        <v>181</v>
      </c>
      <c r="B55" s="45" t="s">
        <v>19</v>
      </c>
      <c r="C55" s="45" t="s">
        <v>182</v>
      </c>
      <c r="D55" s="45" t="s">
        <v>183</v>
      </c>
      <c r="E55" s="45">
        <v>1</v>
      </c>
      <c r="F55" s="46" t="s">
        <v>102</v>
      </c>
      <c r="G55" s="45" t="s">
        <v>184</v>
      </c>
      <c r="H55" s="45">
        <v>5</v>
      </c>
      <c r="I55" s="45" t="s">
        <v>82</v>
      </c>
      <c r="J55" s="45" t="s">
        <v>64</v>
      </c>
      <c r="K55" s="45" t="s">
        <v>65</v>
      </c>
      <c r="L55" s="45" t="s">
        <v>56</v>
      </c>
      <c r="M55" s="45" t="s">
        <v>27</v>
      </c>
      <c r="N55" s="45" t="s">
        <v>27</v>
      </c>
      <c r="O55" s="58" t="s">
        <v>185</v>
      </c>
      <c r="P55" s="45" t="s">
        <v>186</v>
      </c>
      <c r="Q55" s="45" t="s">
        <v>187</v>
      </c>
      <c r="R55" s="45" t="s">
        <v>85</v>
      </c>
    </row>
    <row r="56" ht="16" customHeight="1" spans="1:18">
      <c r="A56" s="47" t="s">
        <v>188</v>
      </c>
      <c r="B56" s="48" t="s">
        <v>19</v>
      </c>
      <c r="C56" s="48" t="s">
        <v>189</v>
      </c>
      <c r="D56" s="48" t="s">
        <v>183</v>
      </c>
      <c r="E56" s="48">
        <v>1</v>
      </c>
      <c r="F56" s="49" t="s">
        <v>190</v>
      </c>
      <c r="G56" s="48" t="s">
        <v>191</v>
      </c>
      <c r="H56" s="48">
        <v>5</v>
      </c>
      <c r="I56" s="48" t="s">
        <v>192</v>
      </c>
      <c r="J56" s="48" t="s">
        <v>24</v>
      </c>
      <c r="K56" s="48" t="s">
        <v>56</v>
      </c>
      <c r="L56" s="48" t="s">
        <v>57</v>
      </c>
      <c r="M56" s="48" t="s">
        <v>27</v>
      </c>
      <c r="N56" s="48" t="s">
        <v>27</v>
      </c>
      <c r="O56" s="58" t="s">
        <v>36</v>
      </c>
      <c r="P56" s="48" t="s">
        <v>186</v>
      </c>
      <c r="Q56" s="48" t="s">
        <v>187</v>
      </c>
      <c r="R56" s="48" t="s">
        <v>31</v>
      </c>
    </row>
    <row r="57" ht="16" customHeight="1" spans="1:18">
      <c r="A57" s="50" t="s">
        <v>193</v>
      </c>
      <c r="B57" s="51" t="s">
        <v>19</v>
      </c>
      <c r="C57" s="51" t="s">
        <v>194</v>
      </c>
      <c r="D57" s="51" t="s">
        <v>183</v>
      </c>
      <c r="E57" s="51">
        <v>1</v>
      </c>
      <c r="F57" s="55" t="s">
        <v>102</v>
      </c>
      <c r="G57" s="51" t="s">
        <v>195</v>
      </c>
      <c r="H57" s="51">
        <v>5</v>
      </c>
      <c r="I57" s="51" t="s">
        <v>82</v>
      </c>
      <c r="J57" s="51" t="s">
        <v>64</v>
      </c>
      <c r="K57" s="51" t="s">
        <v>65</v>
      </c>
      <c r="L57" s="51" t="s">
        <v>134</v>
      </c>
      <c r="M57" s="51" t="s">
        <v>27</v>
      </c>
      <c r="N57" s="51" t="s">
        <v>27</v>
      </c>
      <c r="O57" s="58" t="s">
        <v>196</v>
      </c>
      <c r="P57" s="51" t="s">
        <v>186</v>
      </c>
      <c r="Q57" s="51" t="s">
        <v>187</v>
      </c>
      <c r="R57" s="51" t="s">
        <v>85</v>
      </c>
    </row>
    <row r="58" ht="16" customHeight="1" spans="1:18">
      <c r="A58" s="52" t="s">
        <v>197</v>
      </c>
      <c r="B58" s="53" t="s">
        <v>19</v>
      </c>
      <c r="C58" s="53" t="s">
        <v>198</v>
      </c>
      <c r="D58" s="53" t="s">
        <v>199</v>
      </c>
      <c r="E58" s="53">
        <v>1</v>
      </c>
      <c r="F58" s="54" t="s">
        <v>102</v>
      </c>
      <c r="G58" s="53" t="s">
        <v>200</v>
      </c>
      <c r="H58" s="53">
        <v>5</v>
      </c>
      <c r="I58" s="53" t="s">
        <v>82</v>
      </c>
      <c r="J58" s="53" t="s">
        <v>64</v>
      </c>
      <c r="K58" s="53" t="s">
        <v>141</v>
      </c>
      <c r="L58" s="53" t="s">
        <v>141</v>
      </c>
      <c r="M58" s="53" t="s">
        <v>27</v>
      </c>
      <c r="N58" s="53" t="s">
        <v>27</v>
      </c>
      <c r="O58" s="58" t="s">
        <v>201</v>
      </c>
      <c r="P58" s="53" t="s">
        <v>202</v>
      </c>
      <c r="Q58" s="53" t="s">
        <v>203</v>
      </c>
      <c r="R58" s="53" t="s">
        <v>31</v>
      </c>
    </row>
    <row r="59" ht="16" customHeight="1" spans="1:18">
      <c r="A59" s="44" t="s">
        <v>204</v>
      </c>
      <c r="B59" s="45" t="s">
        <v>19</v>
      </c>
      <c r="C59" s="45" t="s">
        <v>205</v>
      </c>
      <c r="D59" s="45" t="s">
        <v>199</v>
      </c>
      <c r="E59" s="45">
        <v>1</v>
      </c>
      <c r="F59" s="46" t="s">
        <v>206</v>
      </c>
      <c r="G59" s="45" t="s">
        <v>103</v>
      </c>
      <c r="H59" s="45">
        <v>1</v>
      </c>
      <c r="I59" s="45" t="s">
        <v>63</v>
      </c>
      <c r="J59" s="45" t="s">
        <v>64</v>
      </c>
      <c r="K59" s="45" t="s">
        <v>141</v>
      </c>
      <c r="L59" s="45" t="s">
        <v>141</v>
      </c>
      <c r="M59" s="45" t="s">
        <v>27</v>
      </c>
      <c r="N59" s="45" t="s">
        <v>27</v>
      </c>
      <c r="O59" s="45" t="s">
        <v>27</v>
      </c>
      <c r="P59" s="45" t="s">
        <v>202</v>
      </c>
      <c r="Q59" s="45" t="s">
        <v>203</v>
      </c>
      <c r="R59" s="45" t="s">
        <v>31</v>
      </c>
    </row>
    <row r="60" ht="16" customHeight="1" spans="1:18">
      <c r="A60" s="47" t="s">
        <v>207</v>
      </c>
      <c r="B60" s="48" t="s">
        <v>19</v>
      </c>
      <c r="C60" s="48" t="s">
        <v>208</v>
      </c>
      <c r="D60" s="48" t="s">
        <v>199</v>
      </c>
      <c r="E60" s="48">
        <v>1</v>
      </c>
      <c r="F60" s="49" t="s">
        <v>206</v>
      </c>
      <c r="G60" s="48" t="s">
        <v>103</v>
      </c>
      <c r="H60" s="48">
        <v>3</v>
      </c>
      <c r="I60" s="48" t="s">
        <v>63</v>
      </c>
      <c r="J60" s="48" t="s">
        <v>64</v>
      </c>
      <c r="K60" s="48" t="s">
        <v>141</v>
      </c>
      <c r="L60" s="48" t="s">
        <v>141</v>
      </c>
      <c r="M60" s="48" t="s">
        <v>27</v>
      </c>
      <c r="N60" s="48" t="s">
        <v>27</v>
      </c>
      <c r="O60" s="48" t="s">
        <v>27</v>
      </c>
      <c r="P60" s="48" t="s">
        <v>202</v>
      </c>
      <c r="Q60" s="48" t="s">
        <v>203</v>
      </c>
      <c r="R60" s="48" t="s">
        <v>31</v>
      </c>
    </row>
    <row r="61" ht="16" customHeight="1" spans="1:18">
      <c r="A61" s="50" t="s">
        <v>209</v>
      </c>
      <c r="B61" s="51" t="s">
        <v>19</v>
      </c>
      <c r="C61" s="51" t="s">
        <v>210</v>
      </c>
      <c r="D61" s="51" t="s">
        <v>199</v>
      </c>
      <c r="E61" s="51">
        <v>14</v>
      </c>
      <c r="F61" s="55">
        <v>30</v>
      </c>
      <c r="G61" s="51" t="s">
        <v>211</v>
      </c>
      <c r="H61" s="51">
        <v>1</v>
      </c>
      <c r="I61" s="51" t="s">
        <v>55</v>
      </c>
      <c r="J61" s="51" t="s">
        <v>64</v>
      </c>
      <c r="K61" s="51" t="s">
        <v>212</v>
      </c>
      <c r="L61" s="51" t="s">
        <v>212</v>
      </c>
      <c r="M61" s="51" t="s">
        <v>27</v>
      </c>
      <c r="N61" s="51" t="s">
        <v>27</v>
      </c>
      <c r="O61" s="51" t="s">
        <v>27</v>
      </c>
      <c r="P61" s="51" t="s">
        <v>202</v>
      </c>
      <c r="Q61" s="51" t="s">
        <v>203</v>
      </c>
      <c r="R61" s="51" t="s">
        <v>85</v>
      </c>
    </row>
    <row r="62" ht="16" customHeight="1" spans="1:18">
      <c r="A62" s="50" t="s">
        <v>213</v>
      </c>
      <c r="B62" s="51" t="s">
        <v>19</v>
      </c>
      <c r="C62" s="51" t="s">
        <v>210</v>
      </c>
      <c r="D62" s="51" t="s">
        <v>199</v>
      </c>
      <c r="E62" s="51">
        <v>14</v>
      </c>
      <c r="F62" s="55">
        <v>30</v>
      </c>
      <c r="G62" s="51" t="s">
        <v>211</v>
      </c>
      <c r="H62" s="51">
        <v>1</v>
      </c>
      <c r="I62" s="51" t="s">
        <v>55</v>
      </c>
      <c r="J62" s="51" t="s">
        <v>64</v>
      </c>
      <c r="K62" s="51" t="s">
        <v>212</v>
      </c>
      <c r="L62" s="51" t="s">
        <v>212</v>
      </c>
      <c r="M62" s="57" t="s">
        <v>209</v>
      </c>
      <c r="N62" s="56" t="s">
        <v>209</v>
      </c>
      <c r="O62" s="58" t="s">
        <v>209</v>
      </c>
      <c r="P62" s="51" t="s">
        <v>202</v>
      </c>
      <c r="Q62" s="51" t="s">
        <v>203</v>
      </c>
      <c r="R62" s="51" t="s">
        <v>85</v>
      </c>
    </row>
    <row r="63" ht="16" customHeight="1" spans="1:18">
      <c r="A63" s="50" t="s">
        <v>214</v>
      </c>
      <c r="B63" s="51" t="s">
        <v>19</v>
      </c>
      <c r="C63" s="51" t="s">
        <v>210</v>
      </c>
      <c r="D63" s="51" t="s">
        <v>199</v>
      </c>
      <c r="E63" s="51">
        <v>14</v>
      </c>
      <c r="F63" s="55">
        <v>30</v>
      </c>
      <c r="G63" s="51" t="s">
        <v>211</v>
      </c>
      <c r="H63" s="51">
        <v>1</v>
      </c>
      <c r="I63" s="51" t="s">
        <v>55</v>
      </c>
      <c r="J63" s="51" t="s">
        <v>64</v>
      </c>
      <c r="K63" s="51" t="s">
        <v>212</v>
      </c>
      <c r="L63" s="51" t="s">
        <v>212</v>
      </c>
      <c r="M63" s="57" t="s">
        <v>213</v>
      </c>
      <c r="N63" s="56" t="s">
        <v>213</v>
      </c>
      <c r="O63" s="58" t="s">
        <v>213</v>
      </c>
      <c r="P63" s="51" t="s">
        <v>202</v>
      </c>
      <c r="Q63" s="51" t="s">
        <v>203</v>
      </c>
      <c r="R63" s="51" t="s">
        <v>85</v>
      </c>
    </row>
    <row r="64" ht="16" customHeight="1" spans="1:18">
      <c r="A64" s="50" t="s">
        <v>215</v>
      </c>
      <c r="B64" s="51" t="s">
        <v>19</v>
      </c>
      <c r="C64" s="51" t="s">
        <v>210</v>
      </c>
      <c r="D64" s="51" t="s">
        <v>199</v>
      </c>
      <c r="E64" s="51">
        <v>14</v>
      </c>
      <c r="F64" s="55">
        <v>30</v>
      </c>
      <c r="G64" s="51" t="s">
        <v>211</v>
      </c>
      <c r="H64" s="51">
        <v>1</v>
      </c>
      <c r="I64" s="51" t="s">
        <v>55</v>
      </c>
      <c r="J64" s="51" t="s">
        <v>64</v>
      </c>
      <c r="K64" s="51" t="s">
        <v>212</v>
      </c>
      <c r="L64" s="51" t="s">
        <v>212</v>
      </c>
      <c r="M64" s="57" t="s">
        <v>214</v>
      </c>
      <c r="N64" s="56" t="s">
        <v>214</v>
      </c>
      <c r="O64" s="58" t="s">
        <v>214</v>
      </c>
      <c r="P64" s="51" t="s">
        <v>202</v>
      </c>
      <c r="Q64" s="51" t="s">
        <v>203</v>
      </c>
      <c r="R64" s="51" t="s">
        <v>85</v>
      </c>
    </row>
    <row r="65" ht="16" customHeight="1" spans="1:18">
      <c r="A65" s="50" t="s">
        <v>216</v>
      </c>
      <c r="B65" s="51" t="s">
        <v>19</v>
      </c>
      <c r="C65" s="51" t="s">
        <v>210</v>
      </c>
      <c r="D65" s="51" t="s">
        <v>199</v>
      </c>
      <c r="E65" s="51">
        <v>14</v>
      </c>
      <c r="F65" s="55">
        <v>30</v>
      </c>
      <c r="G65" s="51" t="s">
        <v>211</v>
      </c>
      <c r="H65" s="51">
        <v>1</v>
      </c>
      <c r="I65" s="51" t="s">
        <v>55</v>
      </c>
      <c r="J65" s="51" t="s">
        <v>64</v>
      </c>
      <c r="K65" s="51" t="s">
        <v>212</v>
      </c>
      <c r="L65" s="51" t="s">
        <v>212</v>
      </c>
      <c r="M65" s="57" t="s">
        <v>215</v>
      </c>
      <c r="N65" s="56" t="s">
        <v>215</v>
      </c>
      <c r="O65" s="58" t="s">
        <v>215</v>
      </c>
      <c r="P65" s="51" t="s">
        <v>202</v>
      </c>
      <c r="Q65" s="51" t="s">
        <v>203</v>
      </c>
      <c r="R65" s="51" t="s">
        <v>85</v>
      </c>
    </row>
    <row r="66" ht="16" customHeight="1" spans="1:18">
      <c r="A66" s="50" t="s">
        <v>217</v>
      </c>
      <c r="B66" s="51" t="s">
        <v>19</v>
      </c>
      <c r="C66" s="51" t="s">
        <v>210</v>
      </c>
      <c r="D66" s="51" t="s">
        <v>199</v>
      </c>
      <c r="E66" s="51">
        <v>14</v>
      </c>
      <c r="F66" s="55">
        <v>30</v>
      </c>
      <c r="G66" s="51" t="s">
        <v>211</v>
      </c>
      <c r="H66" s="51">
        <v>1</v>
      </c>
      <c r="I66" s="51" t="s">
        <v>55</v>
      </c>
      <c r="J66" s="51" t="s">
        <v>64</v>
      </c>
      <c r="K66" s="51" t="s">
        <v>212</v>
      </c>
      <c r="L66" s="51" t="s">
        <v>212</v>
      </c>
      <c r="M66" s="57" t="s">
        <v>216</v>
      </c>
      <c r="N66" s="56" t="s">
        <v>216</v>
      </c>
      <c r="O66" s="58" t="s">
        <v>216</v>
      </c>
      <c r="P66" s="51" t="s">
        <v>202</v>
      </c>
      <c r="Q66" s="51" t="s">
        <v>203</v>
      </c>
      <c r="R66" s="51" t="s">
        <v>85</v>
      </c>
    </row>
    <row r="67" ht="16" customHeight="1" spans="1:18">
      <c r="A67" s="50" t="s">
        <v>218</v>
      </c>
      <c r="B67" s="51" t="s">
        <v>19</v>
      </c>
      <c r="C67" s="51" t="s">
        <v>210</v>
      </c>
      <c r="D67" s="51" t="s">
        <v>199</v>
      </c>
      <c r="E67" s="51">
        <v>14</v>
      </c>
      <c r="F67" s="55">
        <v>30</v>
      </c>
      <c r="G67" s="51" t="s">
        <v>211</v>
      </c>
      <c r="H67" s="51">
        <v>1</v>
      </c>
      <c r="I67" s="51" t="s">
        <v>55</v>
      </c>
      <c r="J67" s="51" t="s">
        <v>64</v>
      </c>
      <c r="K67" s="51" t="s">
        <v>212</v>
      </c>
      <c r="L67" s="51" t="s">
        <v>212</v>
      </c>
      <c r="M67" s="57" t="s">
        <v>217</v>
      </c>
      <c r="N67" s="56" t="s">
        <v>217</v>
      </c>
      <c r="O67" s="58" t="s">
        <v>217</v>
      </c>
      <c r="P67" s="51" t="s">
        <v>202</v>
      </c>
      <c r="Q67" s="51" t="s">
        <v>203</v>
      </c>
      <c r="R67" s="51" t="s">
        <v>85</v>
      </c>
    </row>
    <row r="68" ht="16" customHeight="1" spans="1:18">
      <c r="A68" s="50" t="s">
        <v>219</v>
      </c>
      <c r="B68" s="51" t="s">
        <v>19</v>
      </c>
      <c r="C68" s="51" t="s">
        <v>210</v>
      </c>
      <c r="D68" s="51" t="s">
        <v>199</v>
      </c>
      <c r="E68" s="51">
        <v>14</v>
      </c>
      <c r="F68" s="55">
        <v>30</v>
      </c>
      <c r="G68" s="51" t="s">
        <v>211</v>
      </c>
      <c r="H68" s="51">
        <v>1</v>
      </c>
      <c r="I68" s="51" t="s">
        <v>55</v>
      </c>
      <c r="J68" s="51" t="s">
        <v>64</v>
      </c>
      <c r="K68" s="51" t="s">
        <v>212</v>
      </c>
      <c r="L68" s="51" t="s">
        <v>212</v>
      </c>
      <c r="M68" s="57" t="s">
        <v>218</v>
      </c>
      <c r="N68" s="56" t="s">
        <v>218</v>
      </c>
      <c r="O68" s="58" t="s">
        <v>218</v>
      </c>
      <c r="P68" s="51" t="s">
        <v>202</v>
      </c>
      <c r="Q68" s="51" t="s">
        <v>203</v>
      </c>
      <c r="R68" s="51" t="s">
        <v>85</v>
      </c>
    </row>
    <row r="69" ht="16" customHeight="1" spans="1:18">
      <c r="A69" s="50" t="s">
        <v>220</v>
      </c>
      <c r="B69" s="51" t="s">
        <v>19</v>
      </c>
      <c r="C69" s="51" t="s">
        <v>210</v>
      </c>
      <c r="D69" s="51" t="s">
        <v>199</v>
      </c>
      <c r="E69" s="51">
        <v>14</v>
      </c>
      <c r="F69" s="55">
        <v>30</v>
      </c>
      <c r="G69" s="51" t="s">
        <v>211</v>
      </c>
      <c r="H69" s="51">
        <v>1</v>
      </c>
      <c r="I69" s="51" t="s">
        <v>55</v>
      </c>
      <c r="J69" s="51" t="s">
        <v>64</v>
      </c>
      <c r="K69" s="51" t="s">
        <v>212</v>
      </c>
      <c r="L69" s="51" t="s">
        <v>212</v>
      </c>
      <c r="M69" s="57" t="s">
        <v>219</v>
      </c>
      <c r="N69" s="56" t="s">
        <v>219</v>
      </c>
      <c r="O69" s="58" t="s">
        <v>219</v>
      </c>
      <c r="P69" s="51" t="s">
        <v>202</v>
      </c>
      <c r="Q69" s="51" t="s">
        <v>203</v>
      </c>
      <c r="R69" s="51" t="s">
        <v>85</v>
      </c>
    </row>
    <row r="70" ht="16" customHeight="1" spans="1:18">
      <c r="A70" s="50" t="s">
        <v>221</v>
      </c>
      <c r="B70" s="51" t="s">
        <v>19</v>
      </c>
      <c r="C70" s="51" t="s">
        <v>210</v>
      </c>
      <c r="D70" s="51" t="s">
        <v>199</v>
      </c>
      <c r="E70" s="51">
        <v>14</v>
      </c>
      <c r="F70" s="55">
        <v>30</v>
      </c>
      <c r="G70" s="51" t="s">
        <v>211</v>
      </c>
      <c r="H70" s="51">
        <v>1</v>
      </c>
      <c r="I70" s="51" t="s">
        <v>55</v>
      </c>
      <c r="J70" s="51" t="s">
        <v>64</v>
      </c>
      <c r="K70" s="51" t="s">
        <v>212</v>
      </c>
      <c r="L70" s="51" t="s">
        <v>212</v>
      </c>
      <c r="M70" s="57" t="s">
        <v>220</v>
      </c>
      <c r="N70" s="56" t="s">
        <v>220</v>
      </c>
      <c r="O70" s="58" t="s">
        <v>220</v>
      </c>
      <c r="P70" s="51" t="s">
        <v>202</v>
      </c>
      <c r="Q70" s="51" t="s">
        <v>203</v>
      </c>
      <c r="R70" s="51" t="s">
        <v>85</v>
      </c>
    </row>
    <row r="71" ht="16" customHeight="1" spans="1:18">
      <c r="A71" s="50" t="s">
        <v>222</v>
      </c>
      <c r="B71" s="51" t="s">
        <v>19</v>
      </c>
      <c r="C71" s="51" t="s">
        <v>210</v>
      </c>
      <c r="D71" s="51" t="s">
        <v>199</v>
      </c>
      <c r="E71" s="51">
        <v>14</v>
      </c>
      <c r="F71" s="55">
        <v>30</v>
      </c>
      <c r="G71" s="51" t="s">
        <v>211</v>
      </c>
      <c r="H71" s="51">
        <v>1</v>
      </c>
      <c r="I71" s="51" t="s">
        <v>55</v>
      </c>
      <c r="J71" s="51" t="s">
        <v>64</v>
      </c>
      <c r="K71" s="51" t="s">
        <v>212</v>
      </c>
      <c r="L71" s="51" t="s">
        <v>212</v>
      </c>
      <c r="M71" s="57" t="s">
        <v>221</v>
      </c>
      <c r="N71" s="56" t="s">
        <v>221</v>
      </c>
      <c r="O71" s="58" t="s">
        <v>221</v>
      </c>
      <c r="P71" s="51" t="s">
        <v>202</v>
      </c>
      <c r="Q71" s="51" t="s">
        <v>203</v>
      </c>
      <c r="R71" s="51" t="s">
        <v>85</v>
      </c>
    </row>
    <row r="72" ht="16" customHeight="1" spans="1:18">
      <c r="A72" s="50" t="s">
        <v>223</v>
      </c>
      <c r="B72" s="51" t="s">
        <v>19</v>
      </c>
      <c r="C72" s="51" t="s">
        <v>210</v>
      </c>
      <c r="D72" s="51" t="s">
        <v>199</v>
      </c>
      <c r="E72" s="51">
        <v>14</v>
      </c>
      <c r="F72" s="55">
        <v>30</v>
      </c>
      <c r="G72" s="51" t="s">
        <v>211</v>
      </c>
      <c r="H72" s="51">
        <v>1</v>
      </c>
      <c r="I72" s="51" t="s">
        <v>55</v>
      </c>
      <c r="J72" s="51" t="s">
        <v>64</v>
      </c>
      <c r="K72" s="51" t="s">
        <v>212</v>
      </c>
      <c r="L72" s="51" t="s">
        <v>212</v>
      </c>
      <c r="M72" s="57" t="s">
        <v>222</v>
      </c>
      <c r="N72" s="56" t="s">
        <v>222</v>
      </c>
      <c r="O72" s="58" t="s">
        <v>222</v>
      </c>
      <c r="P72" s="51" t="s">
        <v>202</v>
      </c>
      <c r="Q72" s="51" t="s">
        <v>203</v>
      </c>
      <c r="R72" s="51" t="s">
        <v>85</v>
      </c>
    </row>
    <row r="73" ht="16" customHeight="1" spans="1:18">
      <c r="A73" s="50" t="s">
        <v>224</v>
      </c>
      <c r="B73" s="51" t="s">
        <v>19</v>
      </c>
      <c r="C73" s="51" t="s">
        <v>210</v>
      </c>
      <c r="D73" s="51" t="s">
        <v>199</v>
      </c>
      <c r="E73" s="51">
        <v>14</v>
      </c>
      <c r="F73" s="55">
        <v>30</v>
      </c>
      <c r="G73" s="51" t="s">
        <v>211</v>
      </c>
      <c r="H73" s="51">
        <v>1</v>
      </c>
      <c r="I73" s="51" t="s">
        <v>55</v>
      </c>
      <c r="J73" s="51" t="s">
        <v>64</v>
      </c>
      <c r="K73" s="51" t="s">
        <v>212</v>
      </c>
      <c r="L73" s="51" t="s">
        <v>212</v>
      </c>
      <c r="M73" s="57" t="s">
        <v>223</v>
      </c>
      <c r="N73" s="56" t="s">
        <v>223</v>
      </c>
      <c r="O73" s="58" t="s">
        <v>223</v>
      </c>
      <c r="P73" s="51" t="s">
        <v>202</v>
      </c>
      <c r="Q73" s="51" t="s">
        <v>203</v>
      </c>
      <c r="R73" s="51" t="s">
        <v>85</v>
      </c>
    </row>
    <row r="74" ht="16" customHeight="1" spans="1:18">
      <c r="A74" s="50" t="s">
        <v>225</v>
      </c>
      <c r="B74" s="51" t="s">
        <v>19</v>
      </c>
      <c r="C74" s="51" t="s">
        <v>210</v>
      </c>
      <c r="D74" s="51" t="s">
        <v>199</v>
      </c>
      <c r="E74" s="51">
        <v>14</v>
      </c>
      <c r="F74" s="55">
        <v>30</v>
      </c>
      <c r="G74" s="51" t="s">
        <v>211</v>
      </c>
      <c r="H74" s="51">
        <v>1</v>
      </c>
      <c r="I74" s="51" t="s">
        <v>55</v>
      </c>
      <c r="J74" s="51" t="s">
        <v>64</v>
      </c>
      <c r="K74" s="51" t="s">
        <v>212</v>
      </c>
      <c r="L74" s="51" t="s">
        <v>212</v>
      </c>
      <c r="M74" s="57" t="s">
        <v>224</v>
      </c>
      <c r="N74" s="56" t="s">
        <v>224</v>
      </c>
      <c r="O74" s="58" t="s">
        <v>224</v>
      </c>
      <c r="P74" s="51" t="s">
        <v>202</v>
      </c>
      <c r="Q74" s="51" t="s">
        <v>203</v>
      </c>
      <c r="R74" s="51" t="s">
        <v>85</v>
      </c>
    </row>
    <row r="75" ht="16" customHeight="1" spans="1:18">
      <c r="A75" s="52" t="s">
        <v>226</v>
      </c>
      <c r="B75" s="53" t="s">
        <v>19</v>
      </c>
      <c r="C75" s="53" t="s">
        <v>227</v>
      </c>
      <c r="D75" s="53" t="s">
        <v>161</v>
      </c>
      <c r="E75" s="53">
        <v>4</v>
      </c>
      <c r="F75" s="54">
        <v>25</v>
      </c>
      <c r="G75" s="53" t="s">
        <v>228</v>
      </c>
      <c r="H75" s="53">
        <v>4</v>
      </c>
      <c r="I75" s="53" t="s">
        <v>82</v>
      </c>
      <c r="J75" s="53" t="s">
        <v>64</v>
      </c>
      <c r="K75" s="53" t="s">
        <v>104</v>
      </c>
      <c r="L75" s="53" t="s">
        <v>105</v>
      </c>
      <c r="M75" s="53" t="s">
        <v>27</v>
      </c>
      <c r="N75" s="53" t="s">
        <v>27</v>
      </c>
      <c r="O75" s="53" t="s">
        <v>27</v>
      </c>
      <c r="P75" s="53" t="s">
        <v>163</v>
      </c>
      <c r="Q75" s="53" t="s">
        <v>164</v>
      </c>
      <c r="R75" s="53" t="s">
        <v>85</v>
      </c>
    </row>
    <row r="76" ht="16" customHeight="1" spans="1:18">
      <c r="A76" s="52" t="s">
        <v>229</v>
      </c>
      <c r="B76" s="53" t="s">
        <v>19</v>
      </c>
      <c r="C76" s="53" t="s">
        <v>227</v>
      </c>
      <c r="D76" s="53" t="s">
        <v>161</v>
      </c>
      <c r="E76" s="53">
        <v>4</v>
      </c>
      <c r="F76" s="54">
        <v>25</v>
      </c>
      <c r="G76" s="53" t="s">
        <v>228</v>
      </c>
      <c r="H76" s="53">
        <v>4</v>
      </c>
      <c r="I76" s="53" t="s">
        <v>82</v>
      </c>
      <c r="J76" s="53" t="s">
        <v>64</v>
      </c>
      <c r="K76" s="53" t="s">
        <v>104</v>
      </c>
      <c r="L76" s="53" t="s">
        <v>105</v>
      </c>
      <c r="M76" s="57" t="s">
        <v>226</v>
      </c>
      <c r="N76" s="56" t="s">
        <v>226</v>
      </c>
      <c r="O76" s="58" t="s">
        <v>226</v>
      </c>
      <c r="P76" s="53" t="s">
        <v>163</v>
      </c>
      <c r="Q76" s="53" t="s">
        <v>164</v>
      </c>
      <c r="R76" s="53" t="s">
        <v>85</v>
      </c>
    </row>
    <row r="77" ht="16" customHeight="1" spans="1:18">
      <c r="A77" s="52" t="s">
        <v>230</v>
      </c>
      <c r="B77" s="53" t="s">
        <v>19</v>
      </c>
      <c r="C77" s="53" t="s">
        <v>227</v>
      </c>
      <c r="D77" s="53" t="s">
        <v>161</v>
      </c>
      <c r="E77" s="53">
        <v>4</v>
      </c>
      <c r="F77" s="54">
        <v>25</v>
      </c>
      <c r="G77" s="53" t="s">
        <v>228</v>
      </c>
      <c r="H77" s="53">
        <v>4</v>
      </c>
      <c r="I77" s="53" t="s">
        <v>82</v>
      </c>
      <c r="J77" s="53" t="s">
        <v>64</v>
      </c>
      <c r="K77" s="53" t="s">
        <v>104</v>
      </c>
      <c r="L77" s="53" t="s">
        <v>105</v>
      </c>
      <c r="M77" s="57" t="s">
        <v>229</v>
      </c>
      <c r="N77" s="56" t="s">
        <v>229</v>
      </c>
      <c r="O77" s="58" t="s">
        <v>229</v>
      </c>
      <c r="P77" s="53" t="s">
        <v>163</v>
      </c>
      <c r="Q77" s="53" t="s">
        <v>164</v>
      </c>
      <c r="R77" s="53" t="s">
        <v>85</v>
      </c>
    </row>
    <row r="78" ht="16" customHeight="1" spans="1:18">
      <c r="A78" s="52" t="s">
        <v>231</v>
      </c>
      <c r="B78" s="53" t="s">
        <v>19</v>
      </c>
      <c r="C78" s="53" t="s">
        <v>227</v>
      </c>
      <c r="D78" s="53" t="s">
        <v>161</v>
      </c>
      <c r="E78" s="53">
        <v>4</v>
      </c>
      <c r="F78" s="54">
        <v>25</v>
      </c>
      <c r="G78" s="53" t="s">
        <v>228</v>
      </c>
      <c r="H78" s="53">
        <v>4</v>
      </c>
      <c r="I78" s="53" t="s">
        <v>82</v>
      </c>
      <c r="J78" s="53" t="s">
        <v>64</v>
      </c>
      <c r="K78" s="53" t="s">
        <v>104</v>
      </c>
      <c r="L78" s="53" t="s">
        <v>105</v>
      </c>
      <c r="M78" s="57" t="s">
        <v>230</v>
      </c>
      <c r="N78" s="56" t="s">
        <v>230</v>
      </c>
      <c r="O78" s="58" t="s">
        <v>230</v>
      </c>
      <c r="P78" s="53" t="s">
        <v>163</v>
      </c>
      <c r="Q78" s="53" t="s">
        <v>164</v>
      </c>
      <c r="R78" s="53" t="s">
        <v>85</v>
      </c>
    </row>
    <row r="79" ht="16" customHeight="1" spans="1:18">
      <c r="A79" s="44" t="s">
        <v>232</v>
      </c>
      <c r="B79" s="45" t="s">
        <v>19</v>
      </c>
      <c r="C79" s="45" t="s">
        <v>233</v>
      </c>
      <c r="D79" s="45" t="s">
        <v>161</v>
      </c>
      <c r="E79" s="45">
        <v>3</v>
      </c>
      <c r="F79" s="55">
        <v>30</v>
      </c>
      <c r="G79" s="45" t="s">
        <v>96</v>
      </c>
      <c r="H79" s="45">
        <v>4</v>
      </c>
      <c r="I79" s="45" t="s">
        <v>192</v>
      </c>
      <c r="J79" s="45" t="s">
        <v>64</v>
      </c>
      <c r="K79" s="45" t="s">
        <v>105</v>
      </c>
      <c r="L79" s="45" t="s">
        <v>56</v>
      </c>
      <c r="M79" s="45" t="s">
        <v>27</v>
      </c>
      <c r="N79" s="45" t="s">
        <v>27</v>
      </c>
      <c r="O79" s="58" t="s">
        <v>180</v>
      </c>
      <c r="P79" s="45" t="s">
        <v>163</v>
      </c>
      <c r="Q79" s="45" t="s">
        <v>164</v>
      </c>
      <c r="R79" s="45" t="s">
        <v>31</v>
      </c>
    </row>
    <row r="80" ht="16" customHeight="1" spans="1:18">
      <c r="A80" s="44" t="s">
        <v>234</v>
      </c>
      <c r="B80" s="45" t="s">
        <v>19</v>
      </c>
      <c r="C80" s="45" t="s">
        <v>233</v>
      </c>
      <c r="D80" s="45" t="s">
        <v>161</v>
      </c>
      <c r="E80" s="45">
        <v>3</v>
      </c>
      <c r="F80" s="55">
        <v>30</v>
      </c>
      <c r="G80" s="45" t="s">
        <v>96</v>
      </c>
      <c r="H80" s="45">
        <v>4</v>
      </c>
      <c r="I80" s="45" t="s">
        <v>192</v>
      </c>
      <c r="J80" s="45" t="s">
        <v>64</v>
      </c>
      <c r="K80" s="45" t="s">
        <v>105</v>
      </c>
      <c r="L80" s="45" t="s">
        <v>56</v>
      </c>
      <c r="M80" s="57" t="s">
        <v>232</v>
      </c>
      <c r="N80" s="56" t="s">
        <v>232</v>
      </c>
      <c r="O80" s="58" t="s">
        <v>232</v>
      </c>
      <c r="P80" s="45" t="s">
        <v>163</v>
      </c>
      <c r="Q80" s="45" t="s">
        <v>164</v>
      </c>
      <c r="R80" s="45" t="s">
        <v>31</v>
      </c>
    </row>
    <row r="81" ht="16" customHeight="1" spans="1:18">
      <c r="A81" s="44" t="s">
        <v>235</v>
      </c>
      <c r="B81" s="45" t="s">
        <v>19</v>
      </c>
      <c r="C81" s="45" t="s">
        <v>233</v>
      </c>
      <c r="D81" s="45" t="s">
        <v>161</v>
      </c>
      <c r="E81" s="45">
        <v>3</v>
      </c>
      <c r="F81" s="55">
        <v>30</v>
      </c>
      <c r="G81" s="45" t="s">
        <v>96</v>
      </c>
      <c r="H81" s="45">
        <v>4</v>
      </c>
      <c r="I81" s="45" t="s">
        <v>192</v>
      </c>
      <c r="J81" s="45" t="s">
        <v>64</v>
      </c>
      <c r="K81" s="45" t="s">
        <v>105</v>
      </c>
      <c r="L81" s="45" t="s">
        <v>56</v>
      </c>
      <c r="M81" s="57" t="s">
        <v>234</v>
      </c>
      <c r="N81" s="56" t="s">
        <v>234</v>
      </c>
      <c r="O81" s="58" t="s">
        <v>234</v>
      </c>
      <c r="P81" s="45" t="s">
        <v>163</v>
      </c>
      <c r="Q81" s="45" t="s">
        <v>164</v>
      </c>
      <c r="R81" s="45" t="s">
        <v>31</v>
      </c>
    </row>
    <row r="82" ht="16" customHeight="1" spans="1:18">
      <c r="A82" s="47" t="s">
        <v>236</v>
      </c>
      <c r="B82" s="48" t="s">
        <v>19</v>
      </c>
      <c r="C82" s="48" t="s">
        <v>237</v>
      </c>
      <c r="D82" s="48" t="s">
        <v>161</v>
      </c>
      <c r="E82" s="48">
        <v>1</v>
      </c>
      <c r="F82" s="49" t="s">
        <v>102</v>
      </c>
      <c r="G82" s="48" t="s">
        <v>238</v>
      </c>
      <c r="H82" s="48">
        <v>4</v>
      </c>
      <c r="I82" s="48" t="s">
        <v>192</v>
      </c>
      <c r="J82" s="48" t="s">
        <v>64</v>
      </c>
      <c r="K82" s="48" t="s">
        <v>104</v>
      </c>
      <c r="L82" s="48" t="s">
        <v>105</v>
      </c>
      <c r="M82" s="48" t="s">
        <v>27</v>
      </c>
      <c r="N82" s="48" t="s">
        <v>27</v>
      </c>
      <c r="O82" s="58" t="s">
        <v>239</v>
      </c>
      <c r="P82" s="48" t="s">
        <v>163</v>
      </c>
      <c r="Q82" s="48" t="s">
        <v>164</v>
      </c>
      <c r="R82" s="48" t="s">
        <v>31</v>
      </c>
    </row>
    <row r="83" ht="16" customHeight="1" spans="1:18">
      <c r="A83" s="50" t="s">
        <v>240</v>
      </c>
      <c r="B83" s="51" t="s">
        <v>19</v>
      </c>
      <c r="C83" s="51" t="s">
        <v>241</v>
      </c>
      <c r="D83" s="51" t="s">
        <v>161</v>
      </c>
      <c r="E83" s="51">
        <v>1</v>
      </c>
      <c r="F83" s="55" t="s">
        <v>144</v>
      </c>
      <c r="G83" s="51" t="s">
        <v>242</v>
      </c>
      <c r="H83" s="51">
        <v>5</v>
      </c>
      <c r="I83" s="51" t="s">
        <v>82</v>
      </c>
      <c r="J83" s="51" t="s">
        <v>64</v>
      </c>
      <c r="K83" s="51" t="s">
        <v>104</v>
      </c>
      <c r="L83" s="51" t="s">
        <v>105</v>
      </c>
      <c r="M83" s="51" t="s">
        <v>27</v>
      </c>
      <c r="N83" s="51" t="s">
        <v>27</v>
      </c>
      <c r="O83" s="58" t="s">
        <v>180</v>
      </c>
      <c r="P83" s="51" t="s">
        <v>163</v>
      </c>
      <c r="Q83" s="51" t="s">
        <v>164</v>
      </c>
      <c r="R83" s="51" t="s">
        <v>85</v>
      </c>
    </row>
    <row r="84" ht="16" customHeight="1" spans="1:18">
      <c r="A84" s="52" t="s">
        <v>243</v>
      </c>
      <c r="B84" s="53" t="s">
        <v>19</v>
      </c>
      <c r="C84" s="53" t="s">
        <v>244</v>
      </c>
      <c r="D84" s="53" t="s">
        <v>199</v>
      </c>
      <c r="E84" s="53">
        <v>2</v>
      </c>
      <c r="F84" s="54">
        <v>6</v>
      </c>
      <c r="G84" s="53" t="s">
        <v>245</v>
      </c>
      <c r="H84" s="53">
        <v>2</v>
      </c>
      <c r="I84" s="53" t="s">
        <v>148</v>
      </c>
      <c r="J84" s="53" t="s">
        <v>64</v>
      </c>
      <c r="K84" s="53" t="s">
        <v>141</v>
      </c>
      <c r="L84" s="53" t="s">
        <v>104</v>
      </c>
      <c r="M84" s="53" t="s">
        <v>27</v>
      </c>
      <c r="N84" s="53" t="s">
        <v>27</v>
      </c>
      <c r="O84" s="58" t="s">
        <v>150</v>
      </c>
      <c r="P84" s="53" t="s">
        <v>202</v>
      </c>
      <c r="Q84" s="53" t="s">
        <v>203</v>
      </c>
      <c r="R84" s="53" t="s">
        <v>31</v>
      </c>
    </row>
    <row r="85" ht="16" customHeight="1" spans="1:18">
      <c r="A85" s="52" t="s">
        <v>246</v>
      </c>
      <c r="B85" s="53" t="s">
        <v>19</v>
      </c>
      <c r="C85" s="53" t="s">
        <v>244</v>
      </c>
      <c r="D85" s="53" t="s">
        <v>199</v>
      </c>
      <c r="E85" s="53">
        <v>2</v>
      </c>
      <c r="F85" s="54">
        <v>6</v>
      </c>
      <c r="G85" s="53" t="s">
        <v>245</v>
      </c>
      <c r="H85" s="53">
        <v>2</v>
      </c>
      <c r="I85" s="53" t="s">
        <v>148</v>
      </c>
      <c r="J85" s="53" t="s">
        <v>64</v>
      </c>
      <c r="K85" s="53" t="s">
        <v>141</v>
      </c>
      <c r="L85" s="53" t="s">
        <v>104</v>
      </c>
      <c r="M85" s="57" t="s">
        <v>243</v>
      </c>
      <c r="N85" s="56" t="s">
        <v>243</v>
      </c>
      <c r="O85" s="58" t="s">
        <v>243</v>
      </c>
      <c r="P85" s="53" t="s">
        <v>202</v>
      </c>
      <c r="Q85" s="53" t="s">
        <v>203</v>
      </c>
      <c r="R85" s="53" t="s">
        <v>31</v>
      </c>
    </row>
    <row r="86" ht="16" customHeight="1" spans="1:18">
      <c r="A86" s="44" t="s">
        <v>247</v>
      </c>
      <c r="B86" s="45" t="s">
        <v>19</v>
      </c>
      <c r="C86" s="45" t="s">
        <v>248</v>
      </c>
      <c r="D86" s="45" t="s">
        <v>199</v>
      </c>
      <c r="E86" s="45">
        <v>1</v>
      </c>
      <c r="F86" s="46" t="s">
        <v>190</v>
      </c>
      <c r="G86" s="45" t="s">
        <v>249</v>
      </c>
      <c r="H86" s="45">
        <v>5</v>
      </c>
      <c r="I86" s="45" t="s">
        <v>250</v>
      </c>
      <c r="J86" s="45" t="s">
        <v>64</v>
      </c>
      <c r="K86" s="45" t="s">
        <v>65</v>
      </c>
      <c r="L86" s="45" t="s">
        <v>65</v>
      </c>
      <c r="M86" s="45" t="s">
        <v>27</v>
      </c>
      <c r="N86" s="45" t="s">
        <v>27</v>
      </c>
      <c r="O86" s="45" t="s">
        <v>27</v>
      </c>
      <c r="P86" s="45" t="s">
        <v>251</v>
      </c>
      <c r="Q86" s="45" t="s">
        <v>252</v>
      </c>
      <c r="R86" s="45" t="s">
        <v>31</v>
      </c>
    </row>
    <row r="87" ht="16" customHeight="1" spans="1:18">
      <c r="A87" s="47" t="s">
        <v>253</v>
      </c>
      <c r="B87" s="48" t="s">
        <v>19</v>
      </c>
      <c r="C87" s="48" t="s">
        <v>254</v>
      </c>
      <c r="D87" s="48" t="s">
        <v>199</v>
      </c>
      <c r="E87" s="48">
        <v>1</v>
      </c>
      <c r="F87" s="49" t="s">
        <v>144</v>
      </c>
      <c r="G87" s="48" t="s">
        <v>255</v>
      </c>
      <c r="H87" s="48">
        <v>5</v>
      </c>
      <c r="I87" s="48" t="s">
        <v>63</v>
      </c>
      <c r="J87" s="48" t="s">
        <v>64</v>
      </c>
      <c r="K87" s="48" t="s">
        <v>141</v>
      </c>
      <c r="L87" s="48" t="s">
        <v>141</v>
      </c>
      <c r="M87" s="48" t="s">
        <v>27</v>
      </c>
      <c r="N87" s="48" t="s">
        <v>27</v>
      </c>
      <c r="O87" s="48" t="s">
        <v>27</v>
      </c>
      <c r="P87" s="48" t="s">
        <v>251</v>
      </c>
      <c r="Q87" s="48" t="s">
        <v>252</v>
      </c>
      <c r="R87" s="48" t="s">
        <v>31</v>
      </c>
    </row>
    <row r="88" ht="16" customHeight="1" spans="1:18">
      <c r="A88" s="50" t="s">
        <v>256</v>
      </c>
      <c r="B88" s="51" t="s">
        <v>19</v>
      </c>
      <c r="C88" s="51" t="s">
        <v>257</v>
      </c>
      <c r="D88" s="51" t="s">
        <v>199</v>
      </c>
      <c r="E88" s="51">
        <v>1</v>
      </c>
      <c r="F88" s="55" t="s">
        <v>139</v>
      </c>
      <c r="G88" s="51" t="s">
        <v>258</v>
      </c>
      <c r="H88" s="51">
        <v>5</v>
      </c>
      <c r="I88" s="51" t="s">
        <v>82</v>
      </c>
      <c r="J88" s="51" t="s">
        <v>64</v>
      </c>
      <c r="K88" s="51" t="s">
        <v>141</v>
      </c>
      <c r="L88" s="51" t="s">
        <v>141</v>
      </c>
      <c r="M88" s="51" t="s">
        <v>27</v>
      </c>
      <c r="N88" s="51" t="s">
        <v>27</v>
      </c>
      <c r="O88" s="58" t="s">
        <v>36</v>
      </c>
      <c r="P88" s="51" t="s">
        <v>202</v>
      </c>
      <c r="Q88" s="51" t="s">
        <v>203</v>
      </c>
      <c r="R88" s="51" t="s">
        <v>31</v>
      </c>
    </row>
    <row r="89" ht="16" customHeight="1" spans="1:18">
      <c r="A89" s="52" t="s">
        <v>259</v>
      </c>
      <c r="B89" s="53" t="s">
        <v>19</v>
      </c>
      <c r="C89" s="53" t="s">
        <v>260</v>
      </c>
      <c r="D89" s="53" t="s">
        <v>199</v>
      </c>
      <c r="E89" s="53">
        <v>10</v>
      </c>
      <c r="F89" s="54">
        <v>10</v>
      </c>
      <c r="G89" s="53" t="s">
        <v>258</v>
      </c>
      <c r="H89" s="53">
        <v>6</v>
      </c>
      <c r="I89" s="53" t="s">
        <v>82</v>
      </c>
      <c r="J89" s="53" t="s">
        <v>64</v>
      </c>
      <c r="K89" s="53" t="s">
        <v>261</v>
      </c>
      <c r="L89" s="53" t="s">
        <v>261</v>
      </c>
      <c r="M89" s="53" t="s">
        <v>27</v>
      </c>
      <c r="N89" s="53" t="s">
        <v>27</v>
      </c>
      <c r="O89" s="53" t="s">
        <v>27</v>
      </c>
      <c r="P89" s="53" t="s">
        <v>202</v>
      </c>
      <c r="Q89" s="53" t="s">
        <v>203</v>
      </c>
      <c r="R89" s="53" t="s">
        <v>31</v>
      </c>
    </row>
    <row r="90" ht="16" customHeight="1" spans="1:18">
      <c r="A90" s="52" t="s">
        <v>262</v>
      </c>
      <c r="B90" s="53" t="s">
        <v>19</v>
      </c>
      <c r="C90" s="53" t="s">
        <v>260</v>
      </c>
      <c r="D90" s="53" t="s">
        <v>199</v>
      </c>
      <c r="E90" s="53">
        <v>10</v>
      </c>
      <c r="F90" s="54">
        <v>10</v>
      </c>
      <c r="G90" s="53" t="s">
        <v>258</v>
      </c>
      <c r="H90" s="53">
        <v>6</v>
      </c>
      <c r="I90" s="53" t="s">
        <v>82</v>
      </c>
      <c r="J90" s="53" t="s">
        <v>64</v>
      </c>
      <c r="K90" s="53" t="s">
        <v>261</v>
      </c>
      <c r="L90" s="53" t="s">
        <v>261</v>
      </c>
      <c r="M90" s="57" t="s">
        <v>259</v>
      </c>
      <c r="N90" s="56" t="s">
        <v>259</v>
      </c>
      <c r="O90" s="58" t="s">
        <v>259</v>
      </c>
      <c r="P90" s="53" t="s">
        <v>202</v>
      </c>
      <c r="Q90" s="53" t="s">
        <v>203</v>
      </c>
      <c r="R90" s="53" t="s">
        <v>31</v>
      </c>
    </row>
    <row r="91" ht="16" customHeight="1" spans="1:18">
      <c r="A91" s="52" t="s">
        <v>263</v>
      </c>
      <c r="B91" s="53" t="s">
        <v>19</v>
      </c>
      <c r="C91" s="53" t="s">
        <v>260</v>
      </c>
      <c r="D91" s="53" t="s">
        <v>199</v>
      </c>
      <c r="E91" s="53">
        <v>10</v>
      </c>
      <c r="F91" s="54">
        <v>10</v>
      </c>
      <c r="G91" s="53" t="s">
        <v>258</v>
      </c>
      <c r="H91" s="53">
        <v>6</v>
      </c>
      <c r="I91" s="53" t="s">
        <v>82</v>
      </c>
      <c r="J91" s="53" t="s">
        <v>64</v>
      </c>
      <c r="K91" s="53" t="s">
        <v>261</v>
      </c>
      <c r="L91" s="53" t="s">
        <v>261</v>
      </c>
      <c r="M91" s="57" t="s">
        <v>262</v>
      </c>
      <c r="N91" s="56" t="s">
        <v>262</v>
      </c>
      <c r="O91" s="58" t="s">
        <v>262</v>
      </c>
      <c r="P91" s="53" t="s">
        <v>202</v>
      </c>
      <c r="Q91" s="53" t="s">
        <v>203</v>
      </c>
      <c r="R91" s="53" t="s">
        <v>31</v>
      </c>
    </row>
    <row r="92" ht="16" customHeight="1" spans="1:18">
      <c r="A92" s="52" t="s">
        <v>264</v>
      </c>
      <c r="B92" s="53" t="s">
        <v>19</v>
      </c>
      <c r="C92" s="53" t="s">
        <v>260</v>
      </c>
      <c r="D92" s="53" t="s">
        <v>199</v>
      </c>
      <c r="E92" s="53">
        <v>10</v>
      </c>
      <c r="F92" s="54">
        <v>10</v>
      </c>
      <c r="G92" s="53" t="s">
        <v>258</v>
      </c>
      <c r="H92" s="53">
        <v>6</v>
      </c>
      <c r="I92" s="53" t="s">
        <v>82</v>
      </c>
      <c r="J92" s="53" t="s">
        <v>64</v>
      </c>
      <c r="K92" s="53" t="s">
        <v>261</v>
      </c>
      <c r="L92" s="53" t="s">
        <v>261</v>
      </c>
      <c r="M92" s="57" t="s">
        <v>263</v>
      </c>
      <c r="N92" s="56" t="s">
        <v>263</v>
      </c>
      <c r="O92" s="58" t="s">
        <v>263</v>
      </c>
      <c r="P92" s="53" t="s">
        <v>202</v>
      </c>
      <c r="Q92" s="53" t="s">
        <v>203</v>
      </c>
      <c r="R92" s="53" t="s">
        <v>31</v>
      </c>
    </row>
    <row r="93" ht="16" customHeight="1" spans="1:18">
      <c r="A93" s="52" t="s">
        <v>265</v>
      </c>
      <c r="B93" s="53" t="s">
        <v>19</v>
      </c>
      <c r="C93" s="53" t="s">
        <v>260</v>
      </c>
      <c r="D93" s="53" t="s">
        <v>199</v>
      </c>
      <c r="E93" s="53">
        <v>10</v>
      </c>
      <c r="F93" s="54">
        <v>10</v>
      </c>
      <c r="G93" s="53" t="s">
        <v>258</v>
      </c>
      <c r="H93" s="53">
        <v>6</v>
      </c>
      <c r="I93" s="53" t="s">
        <v>82</v>
      </c>
      <c r="J93" s="53" t="s">
        <v>64</v>
      </c>
      <c r="K93" s="53" t="s">
        <v>261</v>
      </c>
      <c r="L93" s="53" t="s">
        <v>261</v>
      </c>
      <c r="M93" s="57" t="s">
        <v>264</v>
      </c>
      <c r="N93" s="56" t="s">
        <v>264</v>
      </c>
      <c r="O93" s="58" t="s">
        <v>264</v>
      </c>
      <c r="P93" s="53" t="s">
        <v>202</v>
      </c>
      <c r="Q93" s="53" t="s">
        <v>203</v>
      </c>
      <c r="R93" s="53" t="s">
        <v>31</v>
      </c>
    </row>
    <row r="94" ht="16" customHeight="1" spans="1:18">
      <c r="A94" s="52" t="s">
        <v>266</v>
      </c>
      <c r="B94" s="53" t="s">
        <v>19</v>
      </c>
      <c r="C94" s="53" t="s">
        <v>260</v>
      </c>
      <c r="D94" s="53" t="s">
        <v>199</v>
      </c>
      <c r="E94" s="53">
        <v>10</v>
      </c>
      <c r="F94" s="54">
        <v>10</v>
      </c>
      <c r="G94" s="53" t="s">
        <v>258</v>
      </c>
      <c r="H94" s="53">
        <v>6</v>
      </c>
      <c r="I94" s="53" t="s">
        <v>82</v>
      </c>
      <c r="J94" s="53" t="s">
        <v>64</v>
      </c>
      <c r="K94" s="53" t="s">
        <v>261</v>
      </c>
      <c r="L94" s="53" t="s">
        <v>261</v>
      </c>
      <c r="M94" s="57" t="s">
        <v>265</v>
      </c>
      <c r="N94" s="56" t="s">
        <v>265</v>
      </c>
      <c r="O94" s="58" t="s">
        <v>265</v>
      </c>
      <c r="P94" s="53" t="s">
        <v>202</v>
      </c>
      <c r="Q94" s="53" t="s">
        <v>203</v>
      </c>
      <c r="R94" s="53" t="s">
        <v>31</v>
      </c>
    </row>
    <row r="95" ht="16" customHeight="1" spans="1:18">
      <c r="A95" s="52" t="s">
        <v>267</v>
      </c>
      <c r="B95" s="53" t="s">
        <v>19</v>
      </c>
      <c r="C95" s="53" t="s">
        <v>260</v>
      </c>
      <c r="D95" s="53" t="s">
        <v>199</v>
      </c>
      <c r="E95" s="53">
        <v>10</v>
      </c>
      <c r="F95" s="54">
        <v>10</v>
      </c>
      <c r="G95" s="53" t="s">
        <v>258</v>
      </c>
      <c r="H95" s="53">
        <v>6</v>
      </c>
      <c r="I95" s="53" t="s">
        <v>82</v>
      </c>
      <c r="J95" s="53" t="s">
        <v>64</v>
      </c>
      <c r="K95" s="53" t="s">
        <v>261</v>
      </c>
      <c r="L95" s="53" t="s">
        <v>261</v>
      </c>
      <c r="M95" s="57" t="s">
        <v>266</v>
      </c>
      <c r="N95" s="56" t="s">
        <v>266</v>
      </c>
      <c r="O95" s="58" t="s">
        <v>266</v>
      </c>
      <c r="P95" s="53" t="s">
        <v>202</v>
      </c>
      <c r="Q95" s="53" t="s">
        <v>203</v>
      </c>
      <c r="R95" s="53" t="s">
        <v>31</v>
      </c>
    </row>
    <row r="96" ht="16" customHeight="1" spans="1:18">
      <c r="A96" s="52" t="s">
        <v>268</v>
      </c>
      <c r="B96" s="53" t="s">
        <v>19</v>
      </c>
      <c r="C96" s="53" t="s">
        <v>260</v>
      </c>
      <c r="D96" s="53" t="s">
        <v>199</v>
      </c>
      <c r="E96" s="53">
        <v>10</v>
      </c>
      <c r="F96" s="54">
        <v>10</v>
      </c>
      <c r="G96" s="53" t="s">
        <v>258</v>
      </c>
      <c r="H96" s="53">
        <v>6</v>
      </c>
      <c r="I96" s="53" t="s">
        <v>82</v>
      </c>
      <c r="J96" s="53" t="s">
        <v>64</v>
      </c>
      <c r="K96" s="53" t="s">
        <v>261</v>
      </c>
      <c r="L96" s="53" t="s">
        <v>261</v>
      </c>
      <c r="M96" s="57" t="s">
        <v>267</v>
      </c>
      <c r="N96" s="56" t="s">
        <v>267</v>
      </c>
      <c r="O96" s="58" t="s">
        <v>267</v>
      </c>
      <c r="P96" s="53" t="s">
        <v>202</v>
      </c>
      <c r="Q96" s="53" t="s">
        <v>203</v>
      </c>
      <c r="R96" s="53" t="s">
        <v>31</v>
      </c>
    </row>
    <row r="97" ht="16" customHeight="1" spans="1:18">
      <c r="A97" s="52" t="s">
        <v>269</v>
      </c>
      <c r="B97" s="53" t="s">
        <v>19</v>
      </c>
      <c r="C97" s="53" t="s">
        <v>260</v>
      </c>
      <c r="D97" s="53" t="s">
        <v>199</v>
      </c>
      <c r="E97" s="53">
        <v>10</v>
      </c>
      <c r="F97" s="54">
        <v>10</v>
      </c>
      <c r="G97" s="53" t="s">
        <v>258</v>
      </c>
      <c r="H97" s="53">
        <v>6</v>
      </c>
      <c r="I97" s="53" t="s">
        <v>82</v>
      </c>
      <c r="J97" s="53" t="s">
        <v>64</v>
      </c>
      <c r="K97" s="53" t="s">
        <v>261</v>
      </c>
      <c r="L97" s="53" t="s">
        <v>261</v>
      </c>
      <c r="M97" s="57" t="s">
        <v>268</v>
      </c>
      <c r="N97" s="56" t="s">
        <v>268</v>
      </c>
      <c r="O97" s="58" t="s">
        <v>268</v>
      </c>
      <c r="P97" s="53" t="s">
        <v>202</v>
      </c>
      <c r="Q97" s="53" t="s">
        <v>203</v>
      </c>
      <c r="R97" s="53" t="s">
        <v>31</v>
      </c>
    </row>
    <row r="98" ht="16" customHeight="1" spans="1:18">
      <c r="A98" s="52" t="s">
        <v>270</v>
      </c>
      <c r="B98" s="53" t="s">
        <v>19</v>
      </c>
      <c r="C98" s="53" t="s">
        <v>260</v>
      </c>
      <c r="D98" s="53" t="s">
        <v>199</v>
      </c>
      <c r="E98" s="53">
        <v>10</v>
      </c>
      <c r="F98" s="54">
        <v>10</v>
      </c>
      <c r="G98" s="53" t="s">
        <v>258</v>
      </c>
      <c r="H98" s="53">
        <v>6</v>
      </c>
      <c r="I98" s="53" t="s">
        <v>82</v>
      </c>
      <c r="J98" s="53" t="s">
        <v>64</v>
      </c>
      <c r="K98" s="53" t="s">
        <v>261</v>
      </c>
      <c r="L98" s="53" t="s">
        <v>261</v>
      </c>
      <c r="M98" s="57" t="s">
        <v>269</v>
      </c>
      <c r="N98" s="56" t="s">
        <v>269</v>
      </c>
      <c r="O98" s="58" t="s">
        <v>269</v>
      </c>
      <c r="P98" s="53" t="s">
        <v>202</v>
      </c>
      <c r="Q98" s="53" t="s">
        <v>203</v>
      </c>
      <c r="R98" s="53" t="s">
        <v>31</v>
      </c>
    </row>
    <row r="99" ht="16" customHeight="1" spans="1:18">
      <c r="A99" s="44" t="s">
        <v>271</v>
      </c>
      <c r="B99" s="45" t="s">
        <v>272</v>
      </c>
      <c r="C99" s="45" t="s">
        <v>273</v>
      </c>
      <c r="D99" s="45" t="s">
        <v>161</v>
      </c>
      <c r="E99" s="45">
        <v>9</v>
      </c>
      <c r="F99" s="46">
        <v>25</v>
      </c>
      <c r="G99" s="45" t="s">
        <v>96</v>
      </c>
      <c r="H99" s="45">
        <v>7</v>
      </c>
      <c r="I99" s="45" t="s">
        <v>192</v>
      </c>
      <c r="J99" s="45" t="s">
        <v>64</v>
      </c>
      <c r="K99" s="45" t="s">
        <v>105</v>
      </c>
      <c r="L99" s="45" t="s">
        <v>56</v>
      </c>
      <c r="M99" s="45" t="s">
        <v>27</v>
      </c>
      <c r="N99" s="56" t="s">
        <v>274</v>
      </c>
      <c r="O99" s="58" t="s">
        <v>274</v>
      </c>
      <c r="P99" s="45" t="s">
        <v>163</v>
      </c>
      <c r="Q99" s="45" t="s">
        <v>164</v>
      </c>
      <c r="R99" s="45" t="s">
        <v>31</v>
      </c>
    </row>
    <row r="100" ht="16" customHeight="1" spans="1:18">
      <c r="A100" s="44" t="s">
        <v>275</v>
      </c>
      <c r="B100" s="45" t="s">
        <v>272</v>
      </c>
      <c r="C100" s="45" t="s">
        <v>273</v>
      </c>
      <c r="D100" s="45" t="s">
        <v>161</v>
      </c>
      <c r="E100" s="45">
        <v>9</v>
      </c>
      <c r="F100" s="46">
        <v>25</v>
      </c>
      <c r="G100" s="45" t="s">
        <v>96</v>
      </c>
      <c r="H100" s="45">
        <v>7</v>
      </c>
      <c r="I100" s="45" t="s">
        <v>192</v>
      </c>
      <c r="J100" s="45" t="s">
        <v>64</v>
      </c>
      <c r="K100" s="45" t="s">
        <v>105</v>
      </c>
      <c r="L100" s="45" t="s">
        <v>56</v>
      </c>
      <c r="M100" s="57" t="s">
        <v>271</v>
      </c>
      <c r="N100" s="56" t="s">
        <v>271</v>
      </c>
      <c r="O100" s="58" t="s">
        <v>271</v>
      </c>
      <c r="P100" s="45" t="s">
        <v>163</v>
      </c>
      <c r="Q100" s="45" t="s">
        <v>164</v>
      </c>
      <c r="R100" s="45" t="s">
        <v>31</v>
      </c>
    </row>
    <row r="101" ht="16" customHeight="1" spans="1:18">
      <c r="A101" s="44" t="s">
        <v>276</v>
      </c>
      <c r="B101" s="45" t="s">
        <v>272</v>
      </c>
      <c r="C101" s="45" t="s">
        <v>273</v>
      </c>
      <c r="D101" s="45" t="s">
        <v>161</v>
      </c>
      <c r="E101" s="45">
        <v>9</v>
      </c>
      <c r="F101" s="46">
        <v>25</v>
      </c>
      <c r="G101" s="45" t="s">
        <v>96</v>
      </c>
      <c r="H101" s="45">
        <v>7</v>
      </c>
      <c r="I101" s="45" t="s">
        <v>192</v>
      </c>
      <c r="J101" s="45" t="s">
        <v>64</v>
      </c>
      <c r="K101" s="45" t="s">
        <v>105</v>
      </c>
      <c r="L101" s="45" t="s">
        <v>56</v>
      </c>
      <c r="M101" s="57" t="s">
        <v>275</v>
      </c>
      <c r="N101" s="56" t="s">
        <v>275</v>
      </c>
      <c r="O101" s="58" t="s">
        <v>275</v>
      </c>
      <c r="P101" s="45" t="s">
        <v>163</v>
      </c>
      <c r="Q101" s="45" t="s">
        <v>164</v>
      </c>
      <c r="R101" s="45" t="s">
        <v>31</v>
      </c>
    </row>
    <row r="102" ht="16" customHeight="1" spans="1:18">
      <c r="A102" s="44" t="s">
        <v>277</v>
      </c>
      <c r="B102" s="45" t="s">
        <v>272</v>
      </c>
      <c r="C102" s="45" t="s">
        <v>273</v>
      </c>
      <c r="D102" s="45" t="s">
        <v>161</v>
      </c>
      <c r="E102" s="45">
        <v>9</v>
      </c>
      <c r="F102" s="46">
        <v>25</v>
      </c>
      <c r="G102" s="45" t="s">
        <v>96</v>
      </c>
      <c r="H102" s="45">
        <v>7</v>
      </c>
      <c r="I102" s="45" t="s">
        <v>192</v>
      </c>
      <c r="J102" s="45" t="s">
        <v>64</v>
      </c>
      <c r="K102" s="45" t="s">
        <v>105</v>
      </c>
      <c r="L102" s="45" t="s">
        <v>56</v>
      </c>
      <c r="M102" s="57" t="s">
        <v>276</v>
      </c>
      <c r="N102" s="56" t="s">
        <v>276</v>
      </c>
      <c r="O102" s="58" t="s">
        <v>276</v>
      </c>
      <c r="P102" s="45" t="s">
        <v>163</v>
      </c>
      <c r="Q102" s="45" t="s">
        <v>164</v>
      </c>
      <c r="R102" s="45" t="s">
        <v>31</v>
      </c>
    </row>
    <row r="103" ht="16" customHeight="1" spans="1:18">
      <c r="A103" s="44" t="s">
        <v>278</v>
      </c>
      <c r="B103" s="45" t="s">
        <v>272</v>
      </c>
      <c r="C103" s="45" t="s">
        <v>273</v>
      </c>
      <c r="D103" s="45" t="s">
        <v>161</v>
      </c>
      <c r="E103" s="45">
        <v>9</v>
      </c>
      <c r="F103" s="46">
        <v>25</v>
      </c>
      <c r="G103" s="45" t="s">
        <v>96</v>
      </c>
      <c r="H103" s="45">
        <v>7</v>
      </c>
      <c r="I103" s="45" t="s">
        <v>192</v>
      </c>
      <c r="J103" s="45" t="s">
        <v>64</v>
      </c>
      <c r="K103" s="45" t="s">
        <v>105</v>
      </c>
      <c r="L103" s="45" t="s">
        <v>56</v>
      </c>
      <c r="M103" s="57" t="s">
        <v>277</v>
      </c>
      <c r="N103" s="56" t="s">
        <v>277</v>
      </c>
      <c r="O103" s="58" t="s">
        <v>277</v>
      </c>
      <c r="P103" s="45" t="s">
        <v>163</v>
      </c>
      <c r="Q103" s="45" t="s">
        <v>164</v>
      </c>
      <c r="R103" s="45" t="s">
        <v>31</v>
      </c>
    </row>
    <row r="104" ht="16" customHeight="1" spans="1:18">
      <c r="A104" s="44" t="s">
        <v>279</v>
      </c>
      <c r="B104" s="45" t="s">
        <v>272</v>
      </c>
      <c r="C104" s="45" t="s">
        <v>273</v>
      </c>
      <c r="D104" s="45" t="s">
        <v>161</v>
      </c>
      <c r="E104" s="45">
        <v>9</v>
      </c>
      <c r="F104" s="46">
        <v>25</v>
      </c>
      <c r="G104" s="45" t="s">
        <v>96</v>
      </c>
      <c r="H104" s="45">
        <v>7</v>
      </c>
      <c r="I104" s="45" t="s">
        <v>192</v>
      </c>
      <c r="J104" s="45" t="s">
        <v>64</v>
      </c>
      <c r="K104" s="45" t="s">
        <v>105</v>
      </c>
      <c r="L104" s="45" t="s">
        <v>56</v>
      </c>
      <c r="M104" s="57" t="s">
        <v>278</v>
      </c>
      <c r="N104" s="56" t="s">
        <v>278</v>
      </c>
      <c r="O104" s="58" t="s">
        <v>278</v>
      </c>
      <c r="P104" s="45" t="s">
        <v>163</v>
      </c>
      <c r="Q104" s="45" t="s">
        <v>164</v>
      </c>
      <c r="R104" s="45" t="s">
        <v>31</v>
      </c>
    </row>
    <row r="105" ht="16" customHeight="1" spans="1:18">
      <c r="A105" s="44" t="s">
        <v>280</v>
      </c>
      <c r="B105" s="45" t="s">
        <v>272</v>
      </c>
      <c r="C105" s="45" t="s">
        <v>273</v>
      </c>
      <c r="D105" s="45" t="s">
        <v>161</v>
      </c>
      <c r="E105" s="45">
        <v>9</v>
      </c>
      <c r="F105" s="46">
        <v>25</v>
      </c>
      <c r="G105" s="45" t="s">
        <v>96</v>
      </c>
      <c r="H105" s="45">
        <v>7</v>
      </c>
      <c r="I105" s="45" t="s">
        <v>192</v>
      </c>
      <c r="J105" s="45" t="s">
        <v>64</v>
      </c>
      <c r="K105" s="45" t="s">
        <v>105</v>
      </c>
      <c r="L105" s="45" t="s">
        <v>56</v>
      </c>
      <c r="M105" s="57" t="s">
        <v>279</v>
      </c>
      <c r="N105" s="56" t="s">
        <v>279</v>
      </c>
      <c r="O105" s="58" t="s">
        <v>279</v>
      </c>
      <c r="P105" s="45" t="s">
        <v>163</v>
      </c>
      <c r="Q105" s="45" t="s">
        <v>164</v>
      </c>
      <c r="R105" s="45" t="s">
        <v>31</v>
      </c>
    </row>
    <row r="106" ht="16" customHeight="1" spans="1:18">
      <c r="A106" s="44" t="s">
        <v>281</v>
      </c>
      <c r="B106" s="45" t="s">
        <v>272</v>
      </c>
      <c r="C106" s="45" t="s">
        <v>273</v>
      </c>
      <c r="D106" s="45" t="s">
        <v>161</v>
      </c>
      <c r="E106" s="45">
        <v>9</v>
      </c>
      <c r="F106" s="46">
        <v>25</v>
      </c>
      <c r="G106" s="45" t="s">
        <v>96</v>
      </c>
      <c r="H106" s="45">
        <v>7</v>
      </c>
      <c r="I106" s="45" t="s">
        <v>192</v>
      </c>
      <c r="J106" s="45" t="s">
        <v>64</v>
      </c>
      <c r="K106" s="45" t="s">
        <v>105</v>
      </c>
      <c r="L106" s="45" t="s">
        <v>56</v>
      </c>
      <c r="M106" s="57" t="s">
        <v>280</v>
      </c>
      <c r="N106" s="56" t="s">
        <v>280</v>
      </c>
      <c r="O106" s="58" t="s">
        <v>280</v>
      </c>
      <c r="P106" s="45" t="s">
        <v>163</v>
      </c>
      <c r="Q106" s="45" t="s">
        <v>164</v>
      </c>
      <c r="R106" s="45" t="s">
        <v>31</v>
      </c>
    </row>
    <row r="107" ht="16" customHeight="1" spans="1:18">
      <c r="A107" s="44" t="s">
        <v>282</v>
      </c>
      <c r="B107" s="45" t="s">
        <v>272</v>
      </c>
      <c r="C107" s="45" t="s">
        <v>273</v>
      </c>
      <c r="D107" s="45" t="s">
        <v>161</v>
      </c>
      <c r="E107" s="45">
        <v>9</v>
      </c>
      <c r="F107" s="46">
        <v>25</v>
      </c>
      <c r="G107" s="45" t="s">
        <v>96</v>
      </c>
      <c r="H107" s="45">
        <v>7</v>
      </c>
      <c r="I107" s="45" t="s">
        <v>192</v>
      </c>
      <c r="J107" s="45" t="s">
        <v>64</v>
      </c>
      <c r="K107" s="45" t="s">
        <v>105</v>
      </c>
      <c r="L107" s="45" t="s">
        <v>56</v>
      </c>
      <c r="M107" s="57" t="s">
        <v>281</v>
      </c>
      <c r="N107" s="56" t="s">
        <v>281</v>
      </c>
      <c r="O107" s="58" t="s">
        <v>281</v>
      </c>
      <c r="P107" s="45" t="s">
        <v>163</v>
      </c>
      <c r="Q107" s="45" t="s">
        <v>164</v>
      </c>
      <c r="R107" s="45" t="s">
        <v>31</v>
      </c>
    </row>
    <row r="108" ht="16" customHeight="1" spans="1:18">
      <c r="A108" s="47" t="s">
        <v>274</v>
      </c>
      <c r="B108" s="48" t="s">
        <v>272</v>
      </c>
      <c r="C108" s="48" t="s">
        <v>283</v>
      </c>
      <c r="D108" s="48" t="s">
        <v>89</v>
      </c>
      <c r="E108" s="48">
        <v>1</v>
      </c>
      <c r="F108" s="49" t="s">
        <v>102</v>
      </c>
      <c r="G108" s="48" t="s">
        <v>96</v>
      </c>
      <c r="H108" s="48">
        <v>6</v>
      </c>
      <c r="I108" s="48" t="s">
        <v>284</v>
      </c>
      <c r="J108" s="48" t="s">
        <v>64</v>
      </c>
      <c r="K108" s="48" t="s">
        <v>105</v>
      </c>
      <c r="L108" s="48" t="s">
        <v>56</v>
      </c>
      <c r="M108" s="48" t="s">
        <v>27</v>
      </c>
      <c r="N108" s="56" t="s">
        <v>285</v>
      </c>
      <c r="O108" s="58" t="s">
        <v>285</v>
      </c>
      <c r="P108" s="48" t="s">
        <v>92</v>
      </c>
      <c r="Q108" s="48" t="s">
        <v>93</v>
      </c>
      <c r="R108" s="48" t="s">
        <v>31</v>
      </c>
    </row>
    <row r="109" ht="16" customHeight="1" spans="1:18">
      <c r="A109" s="50" t="s">
        <v>285</v>
      </c>
      <c r="B109" s="51" t="s">
        <v>272</v>
      </c>
      <c r="C109" s="51" t="s">
        <v>107</v>
      </c>
      <c r="D109" s="51" t="s">
        <v>89</v>
      </c>
      <c r="E109" s="51">
        <v>1</v>
      </c>
      <c r="F109" s="55" t="s">
        <v>153</v>
      </c>
      <c r="G109" s="51" t="s">
        <v>103</v>
      </c>
      <c r="H109" s="51">
        <v>6</v>
      </c>
      <c r="I109" s="51" t="s">
        <v>82</v>
      </c>
      <c r="J109" s="51" t="s">
        <v>64</v>
      </c>
      <c r="K109" s="51" t="s">
        <v>141</v>
      </c>
      <c r="L109" s="51" t="s">
        <v>104</v>
      </c>
      <c r="M109" s="51" t="s">
        <v>27</v>
      </c>
      <c r="N109" s="51" t="s">
        <v>27</v>
      </c>
      <c r="O109" s="51" t="s">
        <v>27</v>
      </c>
      <c r="P109" s="51" t="s">
        <v>92</v>
      </c>
      <c r="Q109" s="51" t="s">
        <v>93</v>
      </c>
      <c r="R109" s="51" t="s">
        <v>31</v>
      </c>
    </row>
    <row r="110" ht="16" customHeight="1" spans="1:18">
      <c r="A110" s="52" t="s">
        <v>286</v>
      </c>
      <c r="B110" s="53" t="s">
        <v>272</v>
      </c>
      <c r="C110" s="53" t="s">
        <v>287</v>
      </c>
      <c r="D110" s="53" t="s">
        <v>161</v>
      </c>
      <c r="E110" s="53">
        <v>1</v>
      </c>
      <c r="F110" s="54" t="s">
        <v>206</v>
      </c>
      <c r="G110" s="53" t="s">
        <v>228</v>
      </c>
      <c r="H110" s="53">
        <v>7</v>
      </c>
      <c r="I110" s="53" t="s">
        <v>63</v>
      </c>
      <c r="J110" s="53" t="s">
        <v>64</v>
      </c>
      <c r="K110" s="53" t="s">
        <v>104</v>
      </c>
      <c r="L110" s="53" t="s">
        <v>105</v>
      </c>
      <c r="M110" s="53" t="s">
        <v>27</v>
      </c>
      <c r="N110" s="53" t="s">
        <v>27</v>
      </c>
      <c r="O110" s="53" t="s">
        <v>27</v>
      </c>
      <c r="P110" s="53" t="s">
        <v>163</v>
      </c>
      <c r="Q110" s="53" t="s">
        <v>164</v>
      </c>
      <c r="R110" s="53" t="s">
        <v>31</v>
      </c>
    </row>
    <row r="111" ht="16" customHeight="1" spans="1:18">
      <c r="A111" s="44" t="s">
        <v>288</v>
      </c>
      <c r="B111" s="45" t="s">
        <v>272</v>
      </c>
      <c r="C111" s="45" t="s">
        <v>289</v>
      </c>
      <c r="D111" s="45" t="s">
        <v>89</v>
      </c>
      <c r="E111" s="45">
        <v>1</v>
      </c>
      <c r="F111" s="46" t="s">
        <v>144</v>
      </c>
      <c r="G111" s="45" t="s">
        <v>103</v>
      </c>
      <c r="H111" s="45">
        <v>7</v>
      </c>
      <c r="I111" s="45" t="s">
        <v>82</v>
      </c>
      <c r="J111" s="45" t="s">
        <v>64</v>
      </c>
      <c r="K111" s="45" t="s">
        <v>141</v>
      </c>
      <c r="L111" s="45" t="s">
        <v>104</v>
      </c>
      <c r="M111" s="45" t="s">
        <v>27</v>
      </c>
      <c r="N111" s="45" t="s">
        <v>27</v>
      </c>
      <c r="O111" s="58" t="s">
        <v>274</v>
      </c>
      <c r="P111" s="45" t="s">
        <v>92</v>
      </c>
      <c r="Q111" s="45" t="s">
        <v>93</v>
      </c>
      <c r="R111" s="45" t="s">
        <v>85</v>
      </c>
    </row>
    <row r="112" ht="16" customHeight="1" spans="1:18">
      <c r="A112" s="47" t="s">
        <v>290</v>
      </c>
      <c r="B112" s="48" t="s">
        <v>272</v>
      </c>
      <c r="C112" s="48" t="s">
        <v>291</v>
      </c>
      <c r="D112" s="48" t="s">
        <v>161</v>
      </c>
      <c r="E112" s="48">
        <v>1</v>
      </c>
      <c r="F112" s="49" t="s">
        <v>144</v>
      </c>
      <c r="G112" s="48" t="s">
        <v>103</v>
      </c>
      <c r="H112" s="48">
        <v>7</v>
      </c>
      <c r="I112" s="48" t="s">
        <v>82</v>
      </c>
      <c r="J112" s="48" t="s">
        <v>64</v>
      </c>
      <c r="K112" s="48" t="s">
        <v>261</v>
      </c>
      <c r="L112" s="48" t="s">
        <v>212</v>
      </c>
      <c r="M112" s="48" t="s">
        <v>27</v>
      </c>
      <c r="N112" s="48" t="s">
        <v>27</v>
      </c>
      <c r="O112" s="48" t="s">
        <v>27</v>
      </c>
      <c r="P112" s="48" t="s">
        <v>163</v>
      </c>
      <c r="Q112" s="48" t="s">
        <v>164</v>
      </c>
      <c r="R112" s="48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4.4"/>
  <cols>
    <col min="1" max="1" width="14" customWidth="1"/>
    <col min="2" max="2" width="8" customWidth="1"/>
    <col min="3" max="3" width="12" customWidth="1"/>
    <col min="4" max="4" width="32" customWidth="1"/>
    <col min="5" max="5" width="14" style="28" customWidth="1"/>
    <col min="6" max="6" width="22" customWidth="1"/>
    <col min="7" max="7" width="9" customWidth="1"/>
    <col min="8" max="8" width="22" customWidth="1"/>
    <col min="9" max="9" width="18" customWidth="1"/>
    <col min="10" max="10" width="30" customWidth="1"/>
  </cols>
  <sheetData>
    <row r="1" ht="36" customHeight="1" spans="1:10">
      <c r="A1" s="29" t="s">
        <v>0</v>
      </c>
      <c r="B1" s="29" t="s">
        <v>292</v>
      </c>
      <c r="C1" s="29" t="s">
        <v>1</v>
      </c>
      <c r="D1" s="29" t="s">
        <v>2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11</v>
      </c>
      <c r="J1" s="29" t="s">
        <v>14</v>
      </c>
    </row>
    <row r="2" ht="16" customHeight="1" spans="1:10">
      <c r="A2" s="30" t="s">
        <v>293</v>
      </c>
      <c r="B2" s="31">
        <v>1</v>
      </c>
      <c r="C2" s="31" t="s">
        <v>294</v>
      </c>
      <c r="D2" s="31" t="s">
        <v>295</v>
      </c>
      <c r="E2" s="32">
        <v>18</v>
      </c>
      <c r="F2" s="31" t="s">
        <v>296</v>
      </c>
      <c r="G2" s="31">
        <v>7</v>
      </c>
      <c r="H2" s="31" t="s">
        <v>82</v>
      </c>
      <c r="I2" s="31" t="s">
        <v>25</v>
      </c>
      <c r="J2" s="42" t="s">
        <v>297</v>
      </c>
    </row>
    <row r="3" ht="16" customHeight="1" spans="1:10">
      <c r="A3" s="30" t="s">
        <v>298</v>
      </c>
      <c r="B3" s="31">
        <v>2</v>
      </c>
      <c r="C3" s="31" t="s">
        <v>294</v>
      </c>
      <c r="D3" s="31" t="s">
        <v>295</v>
      </c>
      <c r="E3" s="32">
        <v>18</v>
      </c>
      <c r="F3" s="31" t="s">
        <v>296</v>
      </c>
      <c r="G3" s="31">
        <v>7</v>
      </c>
      <c r="H3" s="31" t="s">
        <v>82</v>
      </c>
      <c r="I3" s="31" t="s">
        <v>25</v>
      </c>
      <c r="J3" s="42" t="s">
        <v>293</v>
      </c>
    </row>
    <row r="4" ht="16" customHeight="1" spans="1:10">
      <c r="A4" s="30" t="s">
        <v>299</v>
      </c>
      <c r="B4" s="31">
        <v>3</v>
      </c>
      <c r="C4" s="31" t="s">
        <v>294</v>
      </c>
      <c r="D4" s="31" t="s">
        <v>295</v>
      </c>
      <c r="E4" s="32">
        <v>18</v>
      </c>
      <c r="F4" s="31" t="s">
        <v>296</v>
      </c>
      <c r="G4" s="31">
        <v>7</v>
      </c>
      <c r="H4" s="31" t="s">
        <v>82</v>
      </c>
      <c r="I4" s="31" t="s">
        <v>25</v>
      </c>
      <c r="J4" s="42" t="s">
        <v>298</v>
      </c>
    </row>
    <row r="5" ht="16" customHeight="1" spans="1:10">
      <c r="A5" s="30" t="s">
        <v>300</v>
      </c>
      <c r="B5" s="31">
        <v>4</v>
      </c>
      <c r="C5" s="31" t="s">
        <v>294</v>
      </c>
      <c r="D5" s="31" t="s">
        <v>295</v>
      </c>
      <c r="E5" s="32">
        <v>18</v>
      </c>
      <c r="F5" s="31" t="s">
        <v>296</v>
      </c>
      <c r="G5" s="31">
        <v>7</v>
      </c>
      <c r="H5" s="31" t="s">
        <v>82</v>
      </c>
      <c r="I5" s="31" t="s">
        <v>25</v>
      </c>
      <c r="J5" s="42" t="s">
        <v>299</v>
      </c>
    </row>
    <row r="6" ht="16" customHeight="1" spans="1:10">
      <c r="A6" s="33" t="s">
        <v>301</v>
      </c>
      <c r="B6" s="34">
        <v>1</v>
      </c>
      <c r="C6" s="34" t="s">
        <v>294</v>
      </c>
      <c r="D6" s="34" t="s">
        <v>302</v>
      </c>
      <c r="E6" s="35">
        <v>20</v>
      </c>
      <c r="F6" s="34" t="s">
        <v>211</v>
      </c>
      <c r="G6" s="34">
        <v>7</v>
      </c>
      <c r="H6" s="34" t="s">
        <v>82</v>
      </c>
      <c r="I6" s="34" t="s">
        <v>303</v>
      </c>
      <c r="J6" s="42" t="s">
        <v>225</v>
      </c>
    </row>
    <row r="7" ht="16" customHeight="1" spans="1:10">
      <c r="A7" s="33" t="s">
        <v>304</v>
      </c>
      <c r="B7" s="34">
        <v>2</v>
      </c>
      <c r="C7" s="34" t="s">
        <v>294</v>
      </c>
      <c r="D7" s="34" t="s">
        <v>302</v>
      </c>
      <c r="E7" s="35">
        <v>20</v>
      </c>
      <c r="F7" s="34" t="s">
        <v>211</v>
      </c>
      <c r="G7" s="34">
        <v>7</v>
      </c>
      <c r="H7" s="34" t="s">
        <v>82</v>
      </c>
      <c r="I7" s="34" t="s">
        <v>303</v>
      </c>
      <c r="J7" s="42" t="s">
        <v>301</v>
      </c>
    </row>
    <row r="8" ht="16" customHeight="1" spans="1:10">
      <c r="A8" s="36" t="s">
        <v>305</v>
      </c>
      <c r="B8" s="37">
        <v>1</v>
      </c>
      <c r="C8" s="37" t="s">
        <v>294</v>
      </c>
      <c r="D8" s="37" t="s">
        <v>306</v>
      </c>
      <c r="E8" s="38" t="s">
        <v>307</v>
      </c>
      <c r="F8" s="37" t="s">
        <v>308</v>
      </c>
      <c r="G8" s="37">
        <v>7</v>
      </c>
      <c r="H8" s="37" t="s">
        <v>82</v>
      </c>
      <c r="I8" s="37" t="s">
        <v>141</v>
      </c>
      <c r="J8" s="42" t="s">
        <v>304</v>
      </c>
    </row>
    <row r="9" ht="16" customHeight="1" spans="1:10">
      <c r="A9" s="39" t="s">
        <v>309</v>
      </c>
      <c r="B9" s="40">
        <v>1</v>
      </c>
      <c r="C9" s="40" t="s">
        <v>294</v>
      </c>
      <c r="D9" s="40" t="s">
        <v>310</v>
      </c>
      <c r="E9" s="41" t="s">
        <v>311</v>
      </c>
      <c r="F9" s="40" t="s">
        <v>312</v>
      </c>
      <c r="G9" s="40">
        <v>7</v>
      </c>
      <c r="H9" s="40" t="s">
        <v>82</v>
      </c>
      <c r="I9" s="40" t="s">
        <v>105</v>
      </c>
      <c r="J9" s="42" t="s">
        <v>304</v>
      </c>
    </row>
    <row r="10" ht="16" customHeight="1" spans="1:10">
      <c r="A10" s="30" t="s">
        <v>313</v>
      </c>
      <c r="B10" s="31">
        <v>1</v>
      </c>
      <c r="C10" s="31" t="s">
        <v>294</v>
      </c>
      <c r="D10" s="31" t="s">
        <v>314</v>
      </c>
      <c r="E10" s="32">
        <v>8</v>
      </c>
      <c r="F10" s="31" t="s">
        <v>315</v>
      </c>
      <c r="G10" s="31">
        <v>6</v>
      </c>
      <c r="H10" s="31" t="s">
        <v>82</v>
      </c>
      <c r="I10" s="31" t="s">
        <v>56</v>
      </c>
      <c r="J10" s="31" t="s">
        <v>27</v>
      </c>
    </row>
    <row r="11" ht="16" customHeight="1" spans="1:10">
      <c r="A11" s="30" t="s">
        <v>316</v>
      </c>
      <c r="B11" s="31">
        <v>2</v>
      </c>
      <c r="C11" s="31" t="s">
        <v>294</v>
      </c>
      <c r="D11" s="31" t="s">
        <v>314</v>
      </c>
      <c r="E11" s="32">
        <v>8</v>
      </c>
      <c r="F11" s="31" t="s">
        <v>315</v>
      </c>
      <c r="G11" s="31">
        <v>6</v>
      </c>
      <c r="H11" s="31" t="s">
        <v>82</v>
      </c>
      <c r="I11" s="31" t="s">
        <v>56</v>
      </c>
      <c r="J11" s="42" t="s">
        <v>313</v>
      </c>
    </row>
    <row r="12" ht="16" customHeight="1" spans="1:10">
      <c r="A12" s="33" t="s">
        <v>317</v>
      </c>
      <c r="B12" s="34">
        <v>1</v>
      </c>
      <c r="C12" s="34" t="s">
        <v>294</v>
      </c>
      <c r="D12" s="34" t="s">
        <v>318</v>
      </c>
      <c r="E12" s="35">
        <v>6</v>
      </c>
      <c r="F12" s="34" t="s">
        <v>319</v>
      </c>
      <c r="G12" s="34">
        <v>6</v>
      </c>
      <c r="H12" s="34" t="s">
        <v>82</v>
      </c>
      <c r="I12" s="34" t="s">
        <v>105</v>
      </c>
      <c r="J12" s="42" t="s">
        <v>225</v>
      </c>
    </row>
    <row r="13" ht="16" customHeight="1" spans="1:10">
      <c r="A13" s="33" t="s">
        <v>320</v>
      </c>
      <c r="B13" s="34">
        <v>2</v>
      </c>
      <c r="C13" s="34" t="s">
        <v>294</v>
      </c>
      <c r="D13" s="34" t="s">
        <v>318</v>
      </c>
      <c r="E13" s="35">
        <v>6</v>
      </c>
      <c r="F13" s="34" t="s">
        <v>319</v>
      </c>
      <c r="G13" s="34">
        <v>6</v>
      </c>
      <c r="H13" s="34" t="s">
        <v>82</v>
      </c>
      <c r="I13" s="34" t="s">
        <v>105</v>
      </c>
      <c r="J13" s="42" t="s">
        <v>317</v>
      </c>
    </row>
    <row r="14" ht="16" customHeight="1" spans="1:10">
      <c r="A14" s="36" t="s">
        <v>321</v>
      </c>
      <c r="B14" s="37">
        <v>1</v>
      </c>
      <c r="C14" s="37" t="s">
        <v>294</v>
      </c>
      <c r="D14" s="37" t="s">
        <v>322</v>
      </c>
      <c r="E14" s="38">
        <v>25</v>
      </c>
      <c r="F14" s="37" t="s">
        <v>323</v>
      </c>
      <c r="G14" s="37">
        <v>7</v>
      </c>
      <c r="H14" s="37" t="s">
        <v>63</v>
      </c>
      <c r="I14" s="37" t="s">
        <v>57</v>
      </c>
      <c r="J14" s="42" t="s">
        <v>324</v>
      </c>
    </row>
    <row r="15" ht="16" customHeight="1" spans="1:10">
      <c r="A15" s="36" t="s">
        <v>325</v>
      </c>
      <c r="B15" s="37">
        <v>2</v>
      </c>
      <c r="C15" s="37" t="s">
        <v>294</v>
      </c>
      <c r="D15" s="37" t="s">
        <v>322</v>
      </c>
      <c r="E15" s="38">
        <v>25</v>
      </c>
      <c r="F15" s="37" t="s">
        <v>323</v>
      </c>
      <c r="G15" s="37">
        <v>7</v>
      </c>
      <c r="H15" s="37" t="s">
        <v>63</v>
      </c>
      <c r="I15" s="37" t="s">
        <v>57</v>
      </c>
      <c r="J15" s="42" t="s">
        <v>321</v>
      </c>
    </row>
    <row r="16" ht="16" customHeight="1" spans="1:10">
      <c r="A16" s="36" t="s">
        <v>326</v>
      </c>
      <c r="B16" s="37">
        <v>3</v>
      </c>
      <c r="C16" s="37" t="s">
        <v>294</v>
      </c>
      <c r="D16" s="37" t="s">
        <v>322</v>
      </c>
      <c r="E16" s="38">
        <v>25</v>
      </c>
      <c r="F16" s="37" t="s">
        <v>323</v>
      </c>
      <c r="G16" s="37">
        <v>7</v>
      </c>
      <c r="H16" s="37" t="s">
        <v>63</v>
      </c>
      <c r="I16" s="37" t="s">
        <v>57</v>
      </c>
      <c r="J16" s="42" t="s">
        <v>325</v>
      </c>
    </row>
    <row r="17" ht="16" customHeight="1" spans="1:10">
      <c r="A17" s="36" t="s">
        <v>327</v>
      </c>
      <c r="B17" s="37">
        <v>4</v>
      </c>
      <c r="C17" s="37" t="s">
        <v>294</v>
      </c>
      <c r="D17" s="37" t="s">
        <v>322</v>
      </c>
      <c r="E17" s="38">
        <v>25</v>
      </c>
      <c r="F17" s="37" t="s">
        <v>323</v>
      </c>
      <c r="G17" s="37">
        <v>7</v>
      </c>
      <c r="H17" s="37" t="s">
        <v>63</v>
      </c>
      <c r="I17" s="37" t="s">
        <v>57</v>
      </c>
      <c r="J17" s="42" t="s">
        <v>326</v>
      </c>
    </row>
    <row r="18" ht="16" customHeight="1" spans="1:10">
      <c r="A18" s="39" t="s">
        <v>328</v>
      </c>
      <c r="B18" s="40">
        <v>1</v>
      </c>
      <c r="C18" s="40" t="s">
        <v>294</v>
      </c>
      <c r="D18" s="40" t="s">
        <v>329</v>
      </c>
      <c r="E18" s="41">
        <v>20</v>
      </c>
      <c r="F18" s="40" t="s">
        <v>323</v>
      </c>
      <c r="G18" s="40">
        <v>7</v>
      </c>
      <c r="H18" s="40" t="s">
        <v>82</v>
      </c>
      <c r="I18" s="40" t="s">
        <v>56</v>
      </c>
      <c r="J18" s="42" t="s">
        <v>130</v>
      </c>
    </row>
    <row r="19" ht="16" customHeight="1" spans="1:10">
      <c r="A19" s="39" t="s">
        <v>330</v>
      </c>
      <c r="B19" s="40">
        <v>2</v>
      </c>
      <c r="C19" s="40" t="s">
        <v>294</v>
      </c>
      <c r="D19" s="40" t="s">
        <v>329</v>
      </c>
      <c r="E19" s="41">
        <v>20</v>
      </c>
      <c r="F19" s="40" t="s">
        <v>323</v>
      </c>
      <c r="G19" s="40">
        <v>7</v>
      </c>
      <c r="H19" s="40" t="s">
        <v>82</v>
      </c>
      <c r="I19" s="40" t="s">
        <v>56</v>
      </c>
      <c r="J19" s="42" t="s">
        <v>328</v>
      </c>
    </row>
    <row r="20" ht="16" customHeight="1" spans="1:10">
      <c r="A20" s="39" t="s">
        <v>331</v>
      </c>
      <c r="B20" s="40">
        <v>3</v>
      </c>
      <c r="C20" s="40" t="s">
        <v>294</v>
      </c>
      <c r="D20" s="40" t="s">
        <v>329</v>
      </c>
      <c r="E20" s="41">
        <v>20</v>
      </c>
      <c r="F20" s="40" t="s">
        <v>323</v>
      </c>
      <c r="G20" s="40">
        <v>7</v>
      </c>
      <c r="H20" s="40" t="s">
        <v>82</v>
      </c>
      <c r="I20" s="40" t="s">
        <v>56</v>
      </c>
      <c r="J20" s="42" t="s">
        <v>330</v>
      </c>
    </row>
    <row r="21" ht="16" customHeight="1" spans="1:10">
      <c r="A21" s="39" t="s">
        <v>332</v>
      </c>
      <c r="B21" s="40">
        <v>4</v>
      </c>
      <c r="C21" s="40" t="s">
        <v>294</v>
      </c>
      <c r="D21" s="40" t="s">
        <v>329</v>
      </c>
      <c r="E21" s="41">
        <v>20</v>
      </c>
      <c r="F21" s="40" t="s">
        <v>323</v>
      </c>
      <c r="G21" s="40">
        <v>7</v>
      </c>
      <c r="H21" s="40" t="s">
        <v>82</v>
      </c>
      <c r="I21" s="40" t="s">
        <v>56</v>
      </c>
      <c r="J21" s="42" t="s">
        <v>331</v>
      </c>
    </row>
    <row r="22" ht="16" customHeight="1" spans="1:10">
      <c r="A22" s="30" t="s">
        <v>333</v>
      </c>
      <c r="B22" s="31">
        <v>1</v>
      </c>
      <c r="C22" s="31" t="s">
        <v>294</v>
      </c>
      <c r="D22" s="31" t="s">
        <v>334</v>
      </c>
      <c r="E22" s="41">
        <v>20</v>
      </c>
      <c r="F22" s="31" t="s">
        <v>323</v>
      </c>
      <c r="G22" s="31">
        <v>7</v>
      </c>
      <c r="H22" s="31" t="s">
        <v>82</v>
      </c>
      <c r="I22" s="31" t="s">
        <v>56</v>
      </c>
      <c r="J22" s="42" t="s">
        <v>125</v>
      </c>
    </row>
    <row r="23" ht="16" customHeight="1" spans="1:10">
      <c r="A23" s="30" t="s">
        <v>335</v>
      </c>
      <c r="B23" s="31">
        <v>2</v>
      </c>
      <c r="C23" s="31" t="s">
        <v>294</v>
      </c>
      <c r="D23" s="31" t="s">
        <v>334</v>
      </c>
      <c r="E23" s="41">
        <v>20</v>
      </c>
      <c r="F23" s="31" t="s">
        <v>323</v>
      </c>
      <c r="G23" s="31">
        <v>7</v>
      </c>
      <c r="H23" s="31" t="s">
        <v>82</v>
      </c>
      <c r="I23" s="31" t="s">
        <v>56</v>
      </c>
      <c r="J23" s="42" t="s">
        <v>333</v>
      </c>
    </row>
    <row r="24" ht="16" customHeight="1" spans="1:10">
      <c r="A24" s="30" t="s">
        <v>336</v>
      </c>
      <c r="B24" s="31">
        <v>3</v>
      </c>
      <c r="C24" s="31" t="s">
        <v>294</v>
      </c>
      <c r="D24" s="31" t="s">
        <v>334</v>
      </c>
      <c r="E24" s="41">
        <v>20</v>
      </c>
      <c r="F24" s="31" t="s">
        <v>323</v>
      </c>
      <c r="G24" s="31">
        <v>7</v>
      </c>
      <c r="H24" s="31" t="s">
        <v>82</v>
      </c>
      <c r="I24" s="31" t="s">
        <v>56</v>
      </c>
      <c r="J24" s="42" t="s">
        <v>335</v>
      </c>
    </row>
    <row r="25" ht="16" customHeight="1" spans="1:10">
      <c r="A25" s="33" t="s">
        <v>337</v>
      </c>
      <c r="B25" s="34">
        <v>1</v>
      </c>
      <c r="C25" s="34" t="s">
        <v>294</v>
      </c>
      <c r="D25" s="34" t="s">
        <v>338</v>
      </c>
      <c r="E25" s="41">
        <v>20</v>
      </c>
      <c r="F25" s="34" t="s">
        <v>323</v>
      </c>
      <c r="G25" s="34">
        <v>7</v>
      </c>
      <c r="H25" s="34" t="s">
        <v>82</v>
      </c>
      <c r="I25" s="34" t="s">
        <v>105</v>
      </c>
      <c r="J25" s="42" t="s">
        <v>109</v>
      </c>
    </row>
    <row r="26" ht="16" customHeight="1" spans="1:10">
      <c r="A26" s="33" t="s">
        <v>339</v>
      </c>
      <c r="B26" s="34">
        <v>2</v>
      </c>
      <c r="C26" s="34" t="s">
        <v>294</v>
      </c>
      <c r="D26" s="34" t="s">
        <v>338</v>
      </c>
      <c r="E26" s="41">
        <v>20</v>
      </c>
      <c r="F26" s="34" t="s">
        <v>323</v>
      </c>
      <c r="G26" s="34">
        <v>7</v>
      </c>
      <c r="H26" s="34" t="s">
        <v>82</v>
      </c>
      <c r="I26" s="34" t="s">
        <v>105</v>
      </c>
      <c r="J26" s="42" t="s">
        <v>337</v>
      </c>
    </row>
    <row r="27" ht="16" customHeight="1" spans="1:10">
      <c r="A27" s="36" t="s">
        <v>340</v>
      </c>
      <c r="B27" s="37">
        <v>1</v>
      </c>
      <c r="C27" s="37" t="s">
        <v>294</v>
      </c>
      <c r="D27" s="37" t="s">
        <v>341</v>
      </c>
      <c r="E27" s="38" t="s">
        <v>342</v>
      </c>
      <c r="F27" s="37" t="s">
        <v>343</v>
      </c>
      <c r="G27" s="37">
        <v>6</v>
      </c>
      <c r="H27" s="37" t="s">
        <v>82</v>
      </c>
      <c r="I27" s="37" t="s">
        <v>105</v>
      </c>
      <c r="J27" s="37" t="s">
        <v>27</v>
      </c>
    </row>
    <row r="28" ht="16" customHeight="1" spans="1:10">
      <c r="A28" s="39" t="s">
        <v>344</v>
      </c>
      <c r="B28" s="40">
        <v>1</v>
      </c>
      <c r="C28" s="40" t="s">
        <v>294</v>
      </c>
      <c r="D28" s="40" t="s">
        <v>345</v>
      </c>
      <c r="E28" s="41" t="s">
        <v>311</v>
      </c>
      <c r="F28" s="40" t="s">
        <v>346</v>
      </c>
      <c r="G28" s="40">
        <v>6</v>
      </c>
      <c r="H28" s="40" t="s">
        <v>82</v>
      </c>
      <c r="I28" s="40" t="s">
        <v>104</v>
      </c>
      <c r="J28" s="40" t="s">
        <v>27</v>
      </c>
    </row>
    <row r="29" ht="16" customHeight="1" spans="1:10">
      <c r="A29" s="30" t="s">
        <v>347</v>
      </c>
      <c r="B29" s="31">
        <v>1</v>
      </c>
      <c r="C29" s="31" t="s">
        <v>294</v>
      </c>
      <c r="D29" s="31" t="s">
        <v>348</v>
      </c>
      <c r="E29" s="32" t="s">
        <v>311</v>
      </c>
      <c r="F29" s="31" t="s">
        <v>258</v>
      </c>
      <c r="G29" s="31">
        <v>6</v>
      </c>
      <c r="H29" s="31" t="s">
        <v>82</v>
      </c>
      <c r="I29" s="31" t="s">
        <v>105</v>
      </c>
      <c r="J29" s="31" t="s">
        <v>27</v>
      </c>
    </row>
    <row r="30" ht="16" customHeight="1" spans="1:10">
      <c r="A30" s="33" t="s">
        <v>349</v>
      </c>
      <c r="B30" s="34">
        <v>1</v>
      </c>
      <c r="C30" s="34" t="s">
        <v>294</v>
      </c>
      <c r="D30" s="34" t="s">
        <v>350</v>
      </c>
      <c r="E30" s="35" t="s">
        <v>178</v>
      </c>
      <c r="F30" s="34" t="s">
        <v>351</v>
      </c>
      <c r="G30" s="34">
        <v>7</v>
      </c>
      <c r="H30" s="34" t="s">
        <v>82</v>
      </c>
      <c r="I30" s="34" t="s">
        <v>56</v>
      </c>
      <c r="J30" s="42" t="s">
        <v>188</v>
      </c>
    </row>
    <row r="31" ht="16" customHeight="1" spans="1:10">
      <c r="A31" s="36" t="s">
        <v>352</v>
      </c>
      <c r="B31" s="37">
        <v>1</v>
      </c>
      <c r="C31" s="37" t="s">
        <v>294</v>
      </c>
      <c r="D31" s="37" t="s">
        <v>353</v>
      </c>
      <c r="E31" s="38" t="s">
        <v>354</v>
      </c>
      <c r="F31" s="37" t="s">
        <v>355</v>
      </c>
      <c r="G31" s="37">
        <v>6</v>
      </c>
      <c r="H31" s="37" t="s">
        <v>284</v>
      </c>
      <c r="I31" s="37" t="s">
        <v>25</v>
      </c>
      <c r="J31" s="42" t="s">
        <v>356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zoomScale="93" zoomScaleNormal="93" workbookViewId="0">
      <selection activeCell="C4" sqref="C4"/>
    </sheetView>
  </sheetViews>
  <sheetFormatPr defaultColWidth="9" defaultRowHeight="14.4" outlineLevelRow="7"/>
  <cols>
    <col min="1" max="1" width="28.8888888888889" customWidth="1"/>
    <col min="2" max="2" width="41" customWidth="1"/>
    <col min="3" max="3" width="67.5555555555556" customWidth="1"/>
    <col min="4" max="4" width="46.6666666666667" customWidth="1"/>
    <col min="5" max="5" width="21.1111111111111" customWidth="1"/>
    <col min="6" max="6" width="43.8888888888889" customWidth="1"/>
    <col min="7" max="7" width="85.6666666666667" customWidth="1"/>
    <col min="8" max="8" width="291.444444444444" customWidth="1"/>
    <col min="9" max="9" width="63.6666666666667" customWidth="1"/>
  </cols>
  <sheetData>
    <row r="1" ht="21" customHeight="1" spans="1:9">
      <c r="A1" s="21" t="s">
        <v>357</v>
      </c>
      <c r="B1" s="21" t="s">
        <v>358</v>
      </c>
      <c r="C1" s="21" t="s">
        <v>359</v>
      </c>
      <c r="D1" s="21" t="s">
        <v>360</v>
      </c>
      <c r="E1" s="21" t="s">
        <v>361</v>
      </c>
      <c r="F1" s="22"/>
      <c r="G1" s="22"/>
      <c r="H1" s="22"/>
      <c r="I1" s="22"/>
    </row>
    <row r="2" ht="20.4" customHeight="1" spans="1:9">
      <c r="A2" s="23" t="s">
        <v>82</v>
      </c>
      <c r="B2" s="23" t="s">
        <v>362</v>
      </c>
      <c r="C2" s="23" t="s">
        <v>363</v>
      </c>
      <c r="D2" s="23" t="s">
        <v>364</v>
      </c>
      <c r="E2" s="24" t="s">
        <v>365</v>
      </c>
      <c r="F2" s="25"/>
      <c r="G2" s="25"/>
      <c r="H2" s="25"/>
      <c r="I2" s="25"/>
    </row>
    <row r="3" ht="40.8" customHeight="1" spans="1:9">
      <c r="A3" s="23" t="s">
        <v>55</v>
      </c>
      <c r="B3" s="23" t="s">
        <v>366</v>
      </c>
      <c r="C3" s="23" t="s">
        <v>367</v>
      </c>
      <c r="D3" s="23" t="s">
        <v>128</v>
      </c>
      <c r="E3" s="24" t="s">
        <v>368</v>
      </c>
      <c r="F3" s="25"/>
      <c r="G3" s="25"/>
      <c r="H3" s="25"/>
      <c r="I3" s="25"/>
    </row>
    <row r="4" ht="40.8" customHeight="1" spans="1:9">
      <c r="A4" s="23" t="s">
        <v>72</v>
      </c>
      <c r="B4" s="23" t="s">
        <v>369</v>
      </c>
      <c r="C4" s="23" t="s">
        <v>370</v>
      </c>
      <c r="D4" s="23" t="s">
        <v>190</v>
      </c>
      <c r="E4" s="24" t="s">
        <v>371</v>
      </c>
      <c r="F4" s="25"/>
      <c r="G4" s="25"/>
      <c r="H4" s="25"/>
      <c r="I4" s="25"/>
    </row>
    <row r="5" ht="20.4" customHeight="1" spans="1:5">
      <c r="A5" s="26"/>
      <c r="B5" s="26"/>
      <c r="C5" s="26"/>
      <c r="D5" s="26"/>
      <c r="E5" s="26"/>
    </row>
    <row r="6" ht="20.4" customHeight="1" spans="1:5">
      <c r="A6" s="26"/>
      <c r="B6" s="26"/>
      <c r="C6" s="26"/>
      <c r="D6" s="26"/>
      <c r="E6" s="26"/>
    </row>
    <row r="7" ht="20.4" customHeight="1" spans="1:5">
      <c r="A7" s="26"/>
      <c r="B7" s="26"/>
      <c r="C7" s="26"/>
      <c r="D7" s="26"/>
      <c r="E7" s="26"/>
    </row>
    <row r="8" ht="22.8" customHeight="1" spans="1:5">
      <c r="A8" s="26"/>
      <c r="B8" s="26"/>
      <c r="C8" s="26"/>
      <c r="D8" s="27" t="s">
        <v>372</v>
      </c>
      <c r="E8" s="2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88" zoomScaleNormal="88" workbookViewId="0">
      <selection activeCell="A1" sqref="A1:F1"/>
    </sheetView>
  </sheetViews>
  <sheetFormatPr defaultColWidth="9" defaultRowHeight="14.4" outlineLevelCol="5"/>
  <cols>
    <col min="1" max="1" width="28" customWidth="1"/>
    <col min="2" max="2" width="18" customWidth="1"/>
    <col min="3" max="3" width="14" customWidth="1"/>
    <col min="4" max="4" width="52" customWidth="1"/>
    <col min="5" max="5" width="22" customWidth="1"/>
    <col min="6" max="6" width="28" customWidth="1"/>
  </cols>
  <sheetData>
    <row r="1" ht="28.05" customHeight="1" spans="1:1">
      <c r="A1" s="11" t="s">
        <v>373</v>
      </c>
    </row>
    <row r="2" spans="1:6">
      <c r="A2" s="12"/>
      <c r="B2" s="12"/>
      <c r="C2" s="12"/>
      <c r="D2" s="12"/>
      <c r="E2" s="12"/>
      <c r="F2" s="12"/>
    </row>
    <row r="3" spans="1:6">
      <c r="A3" s="13" t="s">
        <v>374</v>
      </c>
      <c r="B3" s="12"/>
      <c r="C3" s="12"/>
      <c r="D3" s="12"/>
      <c r="E3" s="12"/>
      <c r="F3" s="12"/>
    </row>
    <row r="4" spans="1:6">
      <c r="A4" s="14" t="s">
        <v>375</v>
      </c>
      <c r="B4" s="15"/>
      <c r="C4" s="15"/>
      <c r="D4" s="15"/>
      <c r="E4" s="15"/>
      <c r="F4" s="16"/>
    </row>
    <row r="5" spans="1:6">
      <c r="A5" s="17" t="s">
        <v>376</v>
      </c>
      <c r="B5" s="17">
        <v>2</v>
      </c>
      <c r="C5" s="17" t="s">
        <v>377</v>
      </c>
      <c r="D5" s="17" t="s">
        <v>378</v>
      </c>
      <c r="E5" s="18"/>
      <c r="F5" s="18"/>
    </row>
    <row r="6" spans="1:6">
      <c r="A6" s="13" t="s">
        <v>379</v>
      </c>
      <c r="B6" s="13">
        <v>12</v>
      </c>
      <c r="C6" s="13" t="s">
        <v>380</v>
      </c>
      <c r="D6" s="13" t="s">
        <v>381</v>
      </c>
      <c r="E6" s="12"/>
      <c r="F6" s="12"/>
    </row>
    <row r="7" spans="1:6">
      <c r="A7" s="13" t="s">
        <v>382</v>
      </c>
      <c r="B7" s="13">
        <f>B5*B6</f>
        <v>24</v>
      </c>
      <c r="C7" s="13" t="s">
        <v>383</v>
      </c>
      <c r="D7" s="13" t="s">
        <v>384</v>
      </c>
      <c r="E7" s="12"/>
      <c r="F7" s="12"/>
    </row>
    <row r="8" spans="1:6">
      <c r="A8" s="12"/>
      <c r="B8" s="12"/>
      <c r="C8" s="12"/>
      <c r="D8" s="12"/>
      <c r="E8" s="12"/>
      <c r="F8" s="12"/>
    </row>
    <row r="9" spans="1:6">
      <c r="A9" s="13" t="s">
        <v>385</v>
      </c>
      <c r="B9" s="12"/>
      <c r="C9" s="12"/>
      <c r="D9" s="12"/>
      <c r="E9" s="12"/>
      <c r="F9" s="12"/>
    </row>
    <row r="10" spans="1:6">
      <c r="A10" s="14" t="s">
        <v>386</v>
      </c>
      <c r="B10" s="15"/>
      <c r="C10" s="15"/>
      <c r="D10" s="15"/>
      <c r="E10" s="15"/>
      <c r="F10" s="16"/>
    </row>
    <row r="11" spans="1:6">
      <c r="A11" s="17" t="s">
        <v>387</v>
      </c>
      <c r="B11" s="17" t="s">
        <v>388</v>
      </c>
      <c r="C11" s="17" t="s">
        <v>389</v>
      </c>
      <c r="D11" s="17" t="s">
        <v>390</v>
      </c>
      <c r="E11" s="17" t="s">
        <v>391</v>
      </c>
      <c r="F11" s="17" t="s">
        <v>391</v>
      </c>
    </row>
    <row r="12" spans="1:6">
      <c r="A12" s="19" t="s">
        <v>392</v>
      </c>
      <c r="B12" s="19" t="s">
        <v>389</v>
      </c>
      <c r="C12" s="19" t="s">
        <v>388</v>
      </c>
      <c r="D12" s="19" t="s">
        <v>390</v>
      </c>
      <c r="E12" s="19" t="s">
        <v>391</v>
      </c>
      <c r="F12" s="20" t="s">
        <v>393</v>
      </c>
    </row>
    <row r="13" spans="1:6">
      <c r="A13" s="12"/>
      <c r="B13" s="12"/>
      <c r="C13" s="12"/>
      <c r="D13" s="12"/>
      <c r="E13" s="12"/>
      <c r="F13" s="12"/>
    </row>
    <row r="14" spans="1:6">
      <c r="A14" s="13" t="s">
        <v>394</v>
      </c>
      <c r="B14" s="12"/>
      <c r="C14" s="12"/>
      <c r="D14" s="12"/>
      <c r="E14" s="12"/>
      <c r="F14" s="12"/>
    </row>
    <row r="15" spans="1:6">
      <c r="A15" s="14" t="s">
        <v>375</v>
      </c>
      <c r="B15" s="15"/>
      <c r="C15" s="15"/>
      <c r="D15" s="15"/>
      <c r="E15" s="15"/>
      <c r="F15" s="16"/>
    </row>
    <row r="16" spans="1:6">
      <c r="A16" s="17" t="s">
        <v>395</v>
      </c>
      <c r="B16" s="17" t="s">
        <v>396</v>
      </c>
      <c r="C16" s="17" t="s">
        <v>27</v>
      </c>
      <c r="D16" s="17" t="s">
        <v>397</v>
      </c>
      <c r="E16" s="18"/>
      <c r="F16" s="18"/>
    </row>
    <row r="17" spans="1:6">
      <c r="A17" s="13" t="s">
        <v>398</v>
      </c>
      <c r="B17" s="13">
        <v>12</v>
      </c>
      <c r="C17" s="13" t="s">
        <v>399</v>
      </c>
      <c r="D17" s="13" t="s">
        <v>400</v>
      </c>
      <c r="E17" s="12"/>
      <c r="F17" s="12"/>
    </row>
    <row r="18" spans="1:6">
      <c r="A18" s="13" t="s">
        <v>401</v>
      </c>
      <c r="B18" s="13" t="e">
        <f>B16/0.59</f>
        <v>#VALUE!</v>
      </c>
      <c r="C18" s="13" t="s">
        <v>402</v>
      </c>
      <c r="D18" s="13" t="s">
        <v>403</v>
      </c>
      <c r="E18" s="12"/>
      <c r="F18" s="12"/>
    </row>
    <row r="19" spans="1:6">
      <c r="A19" s="13" t="s">
        <v>404</v>
      </c>
      <c r="B19" s="13">
        <f>0.59*2</f>
        <v>1.18</v>
      </c>
      <c r="C19" s="13" t="s">
        <v>399</v>
      </c>
      <c r="D19" s="13" t="s">
        <v>405</v>
      </c>
      <c r="E19" s="12"/>
      <c r="F19" s="12"/>
    </row>
    <row r="20" spans="1:6">
      <c r="A20" s="12"/>
      <c r="B20" s="12"/>
      <c r="C20" s="12"/>
      <c r="D20" s="12"/>
      <c r="E20" s="12"/>
      <c r="F20" s="12"/>
    </row>
    <row r="21" spans="1:6">
      <c r="A21" s="13" t="s">
        <v>406</v>
      </c>
      <c r="B21" s="12"/>
      <c r="C21" s="12"/>
      <c r="D21" s="12"/>
      <c r="E21" s="12"/>
      <c r="F21" s="12"/>
    </row>
    <row r="22" spans="1:6">
      <c r="A22" s="14" t="s">
        <v>375</v>
      </c>
      <c r="B22" s="15"/>
      <c r="C22" s="15"/>
      <c r="D22" s="15"/>
      <c r="E22" s="15"/>
      <c r="F22" s="16"/>
    </row>
    <row r="23" spans="1:6">
      <c r="A23" s="17" t="s">
        <v>407</v>
      </c>
      <c r="B23" s="17">
        <v>0.59</v>
      </c>
      <c r="C23" s="17" t="s">
        <v>399</v>
      </c>
      <c r="D23" s="18"/>
      <c r="E23" s="18"/>
      <c r="F23" s="18"/>
    </row>
    <row r="24" spans="1:6">
      <c r="A24" s="13" t="s">
        <v>408</v>
      </c>
      <c r="B24" s="13" t="s">
        <v>409</v>
      </c>
      <c r="C24" s="13" t="s">
        <v>27</v>
      </c>
      <c r="D24" s="13" t="s">
        <v>410</v>
      </c>
      <c r="E24" s="12"/>
      <c r="F24" s="12"/>
    </row>
    <row r="25" spans="1:6">
      <c r="A25" s="13" t="s">
        <v>411</v>
      </c>
      <c r="B25" s="13">
        <v>24</v>
      </c>
      <c r="C25" s="13" t="s">
        <v>399</v>
      </c>
      <c r="D25" s="13" t="s">
        <v>412</v>
      </c>
      <c r="E25" s="12"/>
      <c r="F25" s="12"/>
    </row>
  </sheetData>
  <mergeCells count="5">
    <mergeCell ref="A1:F1"/>
    <mergeCell ref="A4:F4"/>
    <mergeCell ref="A10:F10"/>
    <mergeCell ref="A15:F15"/>
    <mergeCell ref="A22:F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opLeftCell="A51" workbookViewId="0">
      <selection activeCell="A1" sqref="A1:H1"/>
    </sheetView>
  </sheetViews>
  <sheetFormatPr defaultColWidth="9" defaultRowHeight="14.4" outlineLevelCol="7"/>
  <cols>
    <col min="1" max="1" width="10" customWidth="1"/>
    <col min="2" max="2" width="28" customWidth="1"/>
    <col min="3" max="3" width="12" customWidth="1"/>
    <col min="4" max="4" width="18" customWidth="1"/>
    <col min="5" max="6" width="26" customWidth="1"/>
    <col min="7" max="7" width="28" customWidth="1"/>
    <col min="8" max="8" width="14" customWidth="1"/>
  </cols>
  <sheetData>
    <row r="1" ht="16.8" customHeight="1" spans="1:1">
      <c r="A1" s="1" t="s">
        <v>413</v>
      </c>
    </row>
    <row r="2" spans="1:1">
      <c r="A2" s="2" t="s">
        <v>414</v>
      </c>
    </row>
    <row r="4" ht="22.05" customHeight="1" spans="1:8">
      <c r="A4" s="3" t="s">
        <v>415</v>
      </c>
      <c r="B4" s="3" t="s">
        <v>2</v>
      </c>
      <c r="C4" s="3" t="s">
        <v>416</v>
      </c>
      <c r="D4" s="3" t="s">
        <v>417</v>
      </c>
      <c r="E4" s="3" t="s">
        <v>418</v>
      </c>
      <c r="F4" s="3" t="s">
        <v>419</v>
      </c>
      <c r="G4" s="3" t="s">
        <v>420</v>
      </c>
      <c r="H4" s="3" t="s">
        <v>421</v>
      </c>
    </row>
    <row r="5" spans="1:8">
      <c r="A5" s="4" t="s">
        <v>422</v>
      </c>
      <c r="B5" s="4" t="s">
        <v>20</v>
      </c>
      <c r="C5" s="4" t="s">
        <v>190</v>
      </c>
      <c r="D5" s="4" t="s">
        <v>423</v>
      </c>
      <c r="E5" s="4" t="s">
        <v>424</v>
      </c>
      <c r="F5" s="4" t="s">
        <v>424</v>
      </c>
      <c r="G5" s="4" t="s">
        <v>27</v>
      </c>
      <c r="H5" s="5" t="s">
        <v>425</v>
      </c>
    </row>
    <row r="6" spans="1:8">
      <c r="A6" s="4" t="s">
        <v>426</v>
      </c>
      <c r="B6" s="4" t="s">
        <v>38</v>
      </c>
      <c r="C6" s="4" t="s">
        <v>144</v>
      </c>
      <c r="D6" s="4" t="s">
        <v>427</v>
      </c>
      <c r="E6" s="4" t="s">
        <v>424</v>
      </c>
      <c r="F6" s="4" t="s">
        <v>424</v>
      </c>
      <c r="G6" s="4" t="s">
        <v>27</v>
      </c>
      <c r="H6" s="5" t="s">
        <v>425</v>
      </c>
    </row>
    <row r="7" spans="1:8">
      <c r="A7" s="4" t="s">
        <v>428</v>
      </c>
      <c r="B7" s="4" t="s">
        <v>53</v>
      </c>
      <c r="C7" s="4" t="s">
        <v>144</v>
      </c>
      <c r="D7" s="4" t="s">
        <v>429</v>
      </c>
      <c r="E7" s="4" t="s">
        <v>430</v>
      </c>
      <c r="F7" s="4" t="s">
        <v>430</v>
      </c>
      <c r="G7" s="4" t="s">
        <v>27</v>
      </c>
      <c r="H7" s="5" t="s">
        <v>425</v>
      </c>
    </row>
    <row r="8" spans="1:8">
      <c r="A8" s="4" t="s">
        <v>431</v>
      </c>
      <c r="B8" s="4" t="s">
        <v>61</v>
      </c>
      <c r="C8" s="4" t="s">
        <v>153</v>
      </c>
      <c r="D8" s="4" t="s">
        <v>432</v>
      </c>
      <c r="E8" s="4" t="s">
        <v>433</v>
      </c>
      <c r="F8" s="4" t="s">
        <v>433</v>
      </c>
      <c r="G8" s="4" t="s">
        <v>27</v>
      </c>
      <c r="H8" s="5" t="s">
        <v>425</v>
      </c>
    </row>
    <row r="9" spans="1:8">
      <c r="A9" s="6" t="s">
        <v>434</v>
      </c>
      <c r="B9" s="6" t="s">
        <v>70</v>
      </c>
      <c r="C9" s="6" t="s">
        <v>435</v>
      </c>
      <c r="D9" s="6" t="s">
        <v>436</v>
      </c>
      <c r="E9" s="6" t="s">
        <v>424</v>
      </c>
      <c r="F9" s="6" t="s">
        <v>424</v>
      </c>
      <c r="G9" s="6" t="s">
        <v>437</v>
      </c>
      <c r="H9" s="7" t="s">
        <v>438</v>
      </c>
    </row>
    <row r="10" spans="1:8">
      <c r="A10" s="8" t="s">
        <v>439</v>
      </c>
      <c r="B10" s="8" t="s">
        <v>80</v>
      </c>
      <c r="C10" s="8" t="s">
        <v>144</v>
      </c>
      <c r="D10" s="8" t="s">
        <v>440</v>
      </c>
      <c r="E10" s="8" t="s">
        <v>430</v>
      </c>
      <c r="F10" s="8" t="s">
        <v>433</v>
      </c>
      <c r="G10" s="8" t="s">
        <v>441</v>
      </c>
      <c r="H10" s="9" t="s">
        <v>442</v>
      </c>
    </row>
    <row r="11" spans="1:8">
      <c r="A11" s="8" t="s">
        <v>443</v>
      </c>
      <c r="B11" s="8" t="s">
        <v>88</v>
      </c>
      <c r="C11" s="8" t="s">
        <v>206</v>
      </c>
      <c r="D11" s="8" t="s">
        <v>444</v>
      </c>
      <c r="E11" s="8" t="s">
        <v>433</v>
      </c>
      <c r="F11" s="8" t="s">
        <v>430</v>
      </c>
      <c r="G11" s="8" t="s">
        <v>445</v>
      </c>
      <c r="H11" s="9" t="s">
        <v>442</v>
      </c>
    </row>
    <row r="12" spans="1:8">
      <c r="A12" s="4" t="s">
        <v>446</v>
      </c>
      <c r="B12" s="4" t="s">
        <v>95</v>
      </c>
      <c r="C12" s="4" t="s">
        <v>206</v>
      </c>
      <c r="D12" s="4" t="s">
        <v>447</v>
      </c>
      <c r="E12" s="4" t="s">
        <v>430</v>
      </c>
      <c r="F12" s="4" t="s">
        <v>430</v>
      </c>
      <c r="G12" s="4" t="s">
        <v>27</v>
      </c>
      <c r="H12" s="5" t="s">
        <v>425</v>
      </c>
    </row>
    <row r="13" spans="1:8">
      <c r="A13" s="4" t="s">
        <v>448</v>
      </c>
      <c r="B13" s="4" t="s">
        <v>101</v>
      </c>
      <c r="C13" s="4" t="s">
        <v>102</v>
      </c>
      <c r="D13" s="4" t="s">
        <v>449</v>
      </c>
      <c r="E13" s="4" t="s">
        <v>433</v>
      </c>
      <c r="F13" s="4" t="s">
        <v>433</v>
      </c>
      <c r="G13" s="4" t="s">
        <v>27</v>
      </c>
      <c r="H13" s="5" t="s">
        <v>425</v>
      </c>
    </row>
    <row r="14" spans="1:8">
      <c r="A14" s="4" t="s">
        <v>450</v>
      </c>
      <c r="B14" s="4" t="s">
        <v>107</v>
      </c>
      <c r="C14" s="4" t="s">
        <v>102</v>
      </c>
      <c r="D14" s="4" t="s">
        <v>451</v>
      </c>
      <c r="E14" s="4" t="s">
        <v>433</v>
      </c>
      <c r="F14" s="4" t="s">
        <v>433</v>
      </c>
      <c r="G14" s="4" t="s">
        <v>27</v>
      </c>
      <c r="H14" s="5" t="s">
        <v>425</v>
      </c>
    </row>
    <row r="15" spans="1:8">
      <c r="A15" s="4" t="s">
        <v>452</v>
      </c>
      <c r="B15" s="4" t="s">
        <v>111</v>
      </c>
      <c r="C15" s="4" t="s">
        <v>453</v>
      </c>
      <c r="D15" s="4" t="s">
        <v>454</v>
      </c>
      <c r="E15" s="4" t="s">
        <v>424</v>
      </c>
      <c r="F15" s="4" t="s">
        <v>424</v>
      </c>
      <c r="G15" s="4" t="s">
        <v>27</v>
      </c>
      <c r="H15" s="5" t="s">
        <v>425</v>
      </c>
    </row>
    <row r="16" spans="1:8">
      <c r="A16" s="8" t="s">
        <v>455</v>
      </c>
      <c r="B16" s="8" t="s">
        <v>120</v>
      </c>
      <c r="C16" s="8" t="s">
        <v>144</v>
      </c>
      <c r="D16" s="8" t="s">
        <v>456</v>
      </c>
      <c r="E16" s="8" t="s">
        <v>430</v>
      </c>
      <c r="F16" s="8" t="s">
        <v>424</v>
      </c>
      <c r="G16" s="8" t="s">
        <v>457</v>
      </c>
      <c r="H16" s="9" t="s">
        <v>442</v>
      </c>
    </row>
    <row r="17" spans="1:8">
      <c r="A17" s="4" t="s">
        <v>458</v>
      </c>
      <c r="B17" s="4" t="s">
        <v>127</v>
      </c>
      <c r="C17" s="4" t="s">
        <v>128</v>
      </c>
      <c r="D17" s="4" t="s">
        <v>459</v>
      </c>
      <c r="E17" s="4" t="s">
        <v>430</v>
      </c>
      <c r="F17" s="4" t="s">
        <v>430</v>
      </c>
      <c r="G17" s="4" t="s">
        <v>27</v>
      </c>
      <c r="H17" s="5" t="s">
        <v>425</v>
      </c>
    </row>
    <row r="18" spans="1:8">
      <c r="A18" s="8" t="s">
        <v>460</v>
      </c>
      <c r="B18" s="8" t="s">
        <v>132</v>
      </c>
      <c r="C18" s="8" t="s">
        <v>461</v>
      </c>
      <c r="D18" s="8" t="s">
        <v>462</v>
      </c>
      <c r="E18" s="8" t="s">
        <v>424</v>
      </c>
      <c r="F18" s="8" t="s">
        <v>430</v>
      </c>
      <c r="G18" s="8" t="s">
        <v>441</v>
      </c>
      <c r="H18" s="9" t="s">
        <v>442</v>
      </c>
    </row>
    <row r="19" spans="1:8">
      <c r="A19" s="4" t="s">
        <v>463</v>
      </c>
      <c r="B19" s="4" t="s">
        <v>138</v>
      </c>
      <c r="C19" s="4" t="s">
        <v>139</v>
      </c>
      <c r="D19" s="4" t="s">
        <v>464</v>
      </c>
      <c r="E19" s="4" t="s">
        <v>433</v>
      </c>
      <c r="F19" s="4" t="s">
        <v>433</v>
      </c>
      <c r="G19" s="4" t="s">
        <v>27</v>
      </c>
      <c r="H19" s="5" t="s">
        <v>425</v>
      </c>
    </row>
    <row r="20" spans="1:8">
      <c r="A20" s="8" t="s">
        <v>465</v>
      </c>
      <c r="B20" s="8" t="s">
        <v>466</v>
      </c>
      <c r="C20" s="8" t="s">
        <v>144</v>
      </c>
      <c r="D20" s="8" t="s">
        <v>449</v>
      </c>
      <c r="E20" s="8" t="s">
        <v>430</v>
      </c>
      <c r="F20" s="8" t="s">
        <v>433</v>
      </c>
      <c r="G20" s="8" t="s">
        <v>441</v>
      </c>
      <c r="H20" s="9" t="s">
        <v>442</v>
      </c>
    </row>
    <row r="21" spans="1:8">
      <c r="A21" s="4" t="s">
        <v>467</v>
      </c>
      <c r="B21" s="4" t="s">
        <v>146</v>
      </c>
      <c r="C21" s="4" t="s">
        <v>153</v>
      </c>
      <c r="D21" s="4" t="s">
        <v>468</v>
      </c>
      <c r="E21" s="4" t="s">
        <v>433</v>
      </c>
      <c r="F21" s="4" t="s">
        <v>433</v>
      </c>
      <c r="G21" s="4" t="s">
        <v>27</v>
      </c>
      <c r="H21" s="5" t="s">
        <v>425</v>
      </c>
    </row>
    <row r="22" spans="1:8">
      <c r="A22" s="4" t="s">
        <v>469</v>
      </c>
      <c r="B22" s="4" t="s">
        <v>152</v>
      </c>
      <c r="C22" s="4" t="s">
        <v>153</v>
      </c>
      <c r="D22" s="4" t="s">
        <v>470</v>
      </c>
      <c r="E22" s="4" t="s">
        <v>433</v>
      </c>
      <c r="F22" s="4" t="s">
        <v>433</v>
      </c>
      <c r="G22" s="4" t="s">
        <v>27</v>
      </c>
      <c r="H22" s="5" t="s">
        <v>425</v>
      </c>
    </row>
    <row r="23" spans="1:8">
      <c r="A23" s="4" t="s">
        <v>471</v>
      </c>
      <c r="B23" s="4" t="s">
        <v>156</v>
      </c>
      <c r="C23" s="4" t="s">
        <v>139</v>
      </c>
      <c r="D23" s="4" t="s">
        <v>472</v>
      </c>
      <c r="E23" s="4" t="s">
        <v>433</v>
      </c>
      <c r="F23" s="4" t="s">
        <v>433</v>
      </c>
      <c r="G23" s="4" t="s">
        <v>27</v>
      </c>
      <c r="H23" s="5" t="s">
        <v>425</v>
      </c>
    </row>
    <row r="24" spans="1:8">
      <c r="A24" s="8" t="s">
        <v>473</v>
      </c>
      <c r="B24" s="8" t="s">
        <v>160</v>
      </c>
      <c r="C24" s="8" t="s">
        <v>102</v>
      </c>
      <c r="D24" s="8" t="s">
        <v>474</v>
      </c>
      <c r="E24" s="8" t="s">
        <v>430</v>
      </c>
      <c r="F24" s="8" t="s">
        <v>433</v>
      </c>
      <c r="G24" s="8" t="s">
        <v>441</v>
      </c>
      <c r="H24" s="9" t="s">
        <v>442</v>
      </c>
    </row>
    <row r="25" spans="1:8">
      <c r="A25" s="6" t="s">
        <v>475</v>
      </c>
      <c r="B25" s="6" t="s">
        <v>166</v>
      </c>
      <c r="C25" s="6" t="s">
        <v>144</v>
      </c>
      <c r="D25" s="6" t="s">
        <v>476</v>
      </c>
      <c r="E25" s="6" t="s">
        <v>433</v>
      </c>
      <c r="F25" s="6" t="s">
        <v>424</v>
      </c>
      <c r="G25" s="6" t="s">
        <v>477</v>
      </c>
      <c r="H25" s="7" t="s">
        <v>438</v>
      </c>
    </row>
    <row r="26" spans="1:8">
      <c r="A26" s="4" t="s">
        <v>478</v>
      </c>
      <c r="B26" s="4" t="s">
        <v>171</v>
      </c>
      <c r="C26" s="4" t="s">
        <v>144</v>
      </c>
      <c r="D26" s="4" t="s">
        <v>479</v>
      </c>
      <c r="E26" s="4" t="s">
        <v>433</v>
      </c>
      <c r="F26" s="4" t="s">
        <v>433</v>
      </c>
      <c r="G26" s="4" t="s">
        <v>27</v>
      </c>
      <c r="H26" s="5" t="s">
        <v>425</v>
      </c>
    </row>
    <row r="27" spans="1:8">
      <c r="A27" s="4" t="s">
        <v>480</v>
      </c>
      <c r="B27" s="4" t="s">
        <v>174</v>
      </c>
      <c r="C27" s="4" t="s">
        <v>144</v>
      </c>
      <c r="D27" s="4" t="s">
        <v>481</v>
      </c>
      <c r="E27" s="4" t="s">
        <v>433</v>
      </c>
      <c r="F27" s="4" t="s">
        <v>433</v>
      </c>
      <c r="G27" s="4" t="s">
        <v>27</v>
      </c>
      <c r="H27" s="5" t="s">
        <v>425</v>
      </c>
    </row>
    <row r="28" spans="1:8">
      <c r="A28" s="4" t="s">
        <v>482</v>
      </c>
      <c r="B28" s="4" t="s">
        <v>177</v>
      </c>
      <c r="C28" s="4" t="s">
        <v>178</v>
      </c>
      <c r="D28" s="4" t="s">
        <v>483</v>
      </c>
      <c r="E28" s="4" t="s">
        <v>433</v>
      </c>
      <c r="F28" s="4" t="s">
        <v>433</v>
      </c>
      <c r="G28" s="4" t="s">
        <v>27</v>
      </c>
      <c r="H28" s="5" t="s">
        <v>425</v>
      </c>
    </row>
    <row r="29" spans="1:8">
      <c r="A29" s="8" t="s">
        <v>484</v>
      </c>
      <c r="B29" s="8" t="s">
        <v>182</v>
      </c>
      <c r="C29" s="8" t="s">
        <v>102</v>
      </c>
      <c r="D29" s="8" t="s">
        <v>485</v>
      </c>
      <c r="E29" s="8" t="s">
        <v>430</v>
      </c>
      <c r="F29" s="8" t="s">
        <v>433</v>
      </c>
      <c r="G29" s="8" t="s">
        <v>441</v>
      </c>
      <c r="H29" s="9" t="s">
        <v>442</v>
      </c>
    </row>
    <row r="30" spans="1:8">
      <c r="A30" s="4" t="s">
        <v>486</v>
      </c>
      <c r="B30" s="4" t="s">
        <v>189</v>
      </c>
      <c r="C30" s="4" t="s">
        <v>190</v>
      </c>
      <c r="D30" s="4" t="s">
        <v>487</v>
      </c>
      <c r="E30" s="4" t="s">
        <v>430</v>
      </c>
      <c r="F30" s="4" t="s">
        <v>430</v>
      </c>
      <c r="G30" s="4" t="s">
        <v>27</v>
      </c>
      <c r="H30" s="5" t="s">
        <v>425</v>
      </c>
    </row>
    <row r="31" spans="1:8">
      <c r="A31" s="8" t="s">
        <v>488</v>
      </c>
      <c r="B31" s="8" t="s">
        <v>194</v>
      </c>
      <c r="C31" s="8" t="s">
        <v>102</v>
      </c>
      <c r="D31" s="8" t="s">
        <v>489</v>
      </c>
      <c r="E31" s="8" t="s">
        <v>430</v>
      </c>
      <c r="F31" s="8" t="s">
        <v>433</v>
      </c>
      <c r="G31" s="8" t="s">
        <v>441</v>
      </c>
      <c r="H31" s="9" t="s">
        <v>442</v>
      </c>
    </row>
    <row r="32" spans="1:8">
      <c r="A32" s="4" t="s">
        <v>490</v>
      </c>
      <c r="B32" s="4" t="s">
        <v>198</v>
      </c>
      <c r="C32" s="4" t="s">
        <v>102</v>
      </c>
      <c r="D32" s="4" t="s">
        <v>491</v>
      </c>
      <c r="E32" s="4" t="s">
        <v>433</v>
      </c>
      <c r="F32" s="4" t="s">
        <v>433</v>
      </c>
      <c r="G32" s="4" t="s">
        <v>27</v>
      </c>
      <c r="H32" s="5" t="s">
        <v>425</v>
      </c>
    </row>
    <row r="33" spans="1:8">
      <c r="A33" s="4" t="s">
        <v>492</v>
      </c>
      <c r="B33" s="4" t="s">
        <v>205</v>
      </c>
      <c r="C33" s="4" t="s">
        <v>206</v>
      </c>
      <c r="D33" s="4" t="s">
        <v>449</v>
      </c>
      <c r="E33" s="4" t="s">
        <v>433</v>
      </c>
      <c r="F33" s="4" t="s">
        <v>433</v>
      </c>
      <c r="G33" s="4" t="s">
        <v>27</v>
      </c>
      <c r="H33" s="5" t="s">
        <v>425</v>
      </c>
    </row>
    <row r="34" spans="1:8">
      <c r="A34" s="4" t="s">
        <v>493</v>
      </c>
      <c r="B34" s="4" t="s">
        <v>208</v>
      </c>
      <c r="C34" s="4" t="s">
        <v>206</v>
      </c>
      <c r="D34" s="4" t="s">
        <v>449</v>
      </c>
      <c r="E34" s="4" t="s">
        <v>433</v>
      </c>
      <c r="F34" s="4" t="s">
        <v>433</v>
      </c>
      <c r="G34" s="4" t="s">
        <v>27</v>
      </c>
      <c r="H34" s="5" t="s">
        <v>425</v>
      </c>
    </row>
    <row r="35" spans="1:8">
      <c r="A35" s="8" t="s">
        <v>494</v>
      </c>
      <c r="B35" s="8" t="s">
        <v>210</v>
      </c>
      <c r="C35" s="8" t="s">
        <v>190</v>
      </c>
      <c r="D35" s="8" t="s">
        <v>495</v>
      </c>
      <c r="E35" s="8" t="s">
        <v>433</v>
      </c>
      <c r="F35" s="8" t="s">
        <v>430</v>
      </c>
      <c r="G35" s="8" t="s">
        <v>496</v>
      </c>
      <c r="H35" s="9" t="s">
        <v>442</v>
      </c>
    </row>
    <row r="36" spans="1:8">
      <c r="A36" s="8" t="s">
        <v>497</v>
      </c>
      <c r="B36" s="8" t="s">
        <v>227</v>
      </c>
      <c r="C36" s="8" t="s">
        <v>206</v>
      </c>
      <c r="D36" s="8" t="s">
        <v>498</v>
      </c>
      <c r="E36" s="8" t="s">
        <v>430</v>
      </c>
      <c r="F36" s="8" t="s">
        <v>433</v>
      </c>
      <c r="G36" s="8" t="s">
        <v>441</v>
      </c>
      <c r="H36" s="9" t="s">
        <v>442</v>
      </c>
    </row>
    <row r="37" spans="1:8">
      <c r="A37" s="4" t="s">
        <v>499</v>
      </c>
      <c r="B37" s="4" t="s">
        <v>500</v>
      </c>
      <c r="C37" s="4" t="s">
        <v>190</v>
      </c>
      <c r="D37" s="4" t="s">
        <v>447</v>
      </c>
      <c r="E37" s="4" t="s">
        <v>430</v>
      </c>
      <c r="F37" s="4" t="s">
        <v>430</v>
      </c>
      <c r="G37" s="4" t="s">
        <v>27</v>
      </c>
      <c r="H37" s="5" t="s">
        <v>425</v>
      </c>
    </row>
    <row r="38" spans="1:8">
      <c r="A38" s="4" t="s">
        <v>501</v>
      </c>
      <c r="B38" s="4" t="s">
        <v>502</v>
      </c>
      <c r="C38" s="4" t="s">
        <v>102</v>
      </c>
      <c r="D38" s="4" t="s">
        <v>503</v>
      </c>
      <c r="E38" s="4" t="s">
        <v>430</v>
      </c>
      <c r="F38" s="4" t="s">
        <v>430</v>
      </c>
      <c r="G38" s="4" t="s">
        <v>27</v>
      </c>
      <c r="H38" s="5" t="s">
        <v>425</v>
      </c>
    </row>
    <row r="39" spans="1:8">
      <c r="A39" s="8" t="s">
        <v>504</v>
      </c>
      <c r="B39" s="8" t="s">
        <v>241</v>
      </c>
      <c r="C39" s="8" t="s">
        <v>144</v>
      </c>
      <c r="D39" s="8" t="s">
        <v>505</v>
      </c>
      <c r="E39" s="8" t="s">
        <v>430</v>
      </c>
      <c r="F39" s="8" t="s">
        <v>433</v>
      </c>
      <c r="G39" s="8" t="s">
        <v>441</v>
      </c>
      <c r="H39" s="9" t="s">
        <v>442</v>
      </c>
    </row>
    <row r="40" spans="1:8">
      <c r="A40" s="4" t="s">
        <v>506</v>
      </c>
      <c r="B40" s="4" t="s">
        <v>244</v>
      </c>
      <c r="C40" s="4" t="s">
        <v>507</v>
      </c>
      <c r="D40" s="4" t="s">
        <v>508</v>
      </c>
      <c r="E40" s="4" t="s">
        <v>433</v>
      </c>
      <c r="F40" s="4" t="s">
        <v>433</v>
      </c>
      <c r="G40" s="4" t="s">
        <v>27</v>
      </c>
      <c r="H40" s="5" t="s">
        <v>425</v>
      </c>
    </row>
    <row r="41" spans="1:8">
      <c r="A41" s="4" t="s">
        <v>509</v>
      </c>
      <c r="B41" s="4" t="s">
        <v>248</v>
      </c>
      <c r="C41" s="4" t="s">
        <v>190</v>
      </c>
      <c r="D41" s="4" t="s">
        <v>510</v>
      </c>
      <c r="E41" s="4" t="s">
        <v>424</v>
      </c>
      <c r="F41" s="4" t="s">
        <v>424</v>
      </c>
      <c r="G41" s="4" t="s">
        <v>27</v>
      </c>
      <c r="H41" s="5" t="s">
        <v>425</v>
      </c>
    </row>
    <row r="42" spans="1:8">
      <c r="A42" s="4" t="s">
        <v>511</v>
      </c>
      <c r="B42" s="4" t="s">
        <v>254</v>
      </c>
      <c r="C42" s="4" t="s">
        <v>144</v>
      </c>
      <c r="D42" s="4" t="s">
        <v>512</v>
      </c>
      <c r="E42" s="4" t="s">
        <v>433</v>
      </c>
      <c r="F42" s="4" t="s">
        <v>433</v>
      </c>
      <c r="G42" s="4" t="s">
        <v>27</v>
      </c>
      <c r="H42" s="5" t="s">
        <v>425</v>
      </c>
    </row>
    <row r="43" spans="1:8">
      <c r="A43" s="4" t="s">
        <v>513</v>
      </c>
      <c r="B43" s="4" t="s">
        <v>257</v>
      </c>
      <c r="C43" s="4" t="s">
        <v>139</v>
      </c>
      <c r="D43" s="4" t="s">
        <v>514</v>
      </c>
      <c r="E43" s="4" t="s">
        <v>433</v>
      </c>
      <c r="F43" s="4" t="s">
        <v>433</v>
      </c>
      <c r="G43" s="4" t="s">
        <v>27</v>
      </c>
      <c r="H43" s="5" t="s">
        <v>425</v>
      </c>
    </row>
    <row r="44" spans="1:8">
      <c r="A44" s="4" t="s">
        <v>515</v>
      </c>
      <c r="B44" s="4" t="s">
        <v>516</v>
      </c>
      <c r="C44" s="4" t="s">
        <v>153</v>
      </c>
      <c r="D44" s="4" t="s">
        <v>514</v>
      </c>
      <c r="E44" s="4" t="s">
        <v>433</v>
      </c>
      <c r="F44" s="4" t="s">
        <v>433</v>
      </c>
      <c r="G44" s="4" t="s">
        <v>27</v>
      </c>
      <c r="H44" s="5" t="s">
        <v>425</v>
      </c>
    </row>
    <row r="45" spans="1:8">
      <c r="A45" s="4" t="s">
        <v>517</v>
      </c>
      <c r="B45" s="4" t="s">
        <v>273</v>
      </c>
      <c r="C45" s="4" t="s">
        <v>206</v>
      </c>
      <c r="D45" s="4" t="s">
        <v>447</v>
      </c>
      <c r="E45" s="4" t="s">
        <v>430</v>
      </c>
      <c r="F45" s="4" t="s">
        <v>430</v>
      </c>
      <c r="G45" s="4" t="s">
        <v>27</v>
      </c>
      <c r="H45" s="5" t="s">
        <v>425</v>
      </c>
    </row>
    <row r="46" spans="1:8">
      <c r="A46" s="4" t="s">
        <v>518</v>
      </c>
      <c r="B46" s="4" t="s">
        <v>283</v>
      </c>
      <c r="C46" s="4" t="s">
        <v>102</v>
      </c>
      <c r="D46" s="4" t="s">
        <v>447</v>
      </c>
      <c r="E46" s="4" t="s">
        <v>430</v>
      </c>
      <c r="F46" s="4" t="s">
        <v>430</v>
      </c>
      <c r="G46" s="4" t="s">
        <v>27</v>
      </c>
      <c r="H46" s="5" t="s">
        <v>425</v>
      </c>
    </row>
    <row r="47" spans="1:8">
      <c r="A47" s="4" t="s">
        <v>519</v>
      </c>
      <c r="B47" s="4" t="s">
        <v>520</v>
      </c>
      <c r="C47" s="4" t="s">
        <v>153</v>
      </c>
      <c r="D47" s="4" t="s">
        <v>449</v>
      </c>
      <c r="E47" s="4" t="s">
        <v>433</v>
      </c>
      <c r="F47" s="4" t="s">
        <v>433</v>
      </c>
      <c r="G47" s="4" t="s">
        <v>27</v>
      </c>
      <c r="H47" s="5" t="s">
        <v>425</v>
      </c>
    </row>
    <row r="48" spans="1:8">
      <c r="A48" s="4" t="s">
        <v>521</v>
      </c>
      <c r="B48" s="4" t="s">
        <v>287</v>
      </c>
      <c r="C48" s="4" t="s">
        <v>206</v>
      </c>
      <c r="D48" s="4" t="s">
        <v>498</v>
      </c>
      <c r="E48" s="4" t="s">
        <v>433</v>
      </c>
      <c r="F48" s="4" t="s">
        <v>433</v>
      </c>
      <c r="G48" s="4" t="s">
        <v>27</v>
      </c>
      <c r="H48" s="5" t="s">
        <v>425</v>
      </c>
    </row>
    <row r="49" spans="1:8">
      <c r="A49" s="8" t="s">
        <v>522</v>
      </c>
      <c r="B49" s="8" t="s">
        <v>289</v>
      </c>
      <c r="C49" s="8" t="s">
        <v>144</v>
      </c>
      <c r="D49" s="8" t="s">
        <v>449</v>
      </c>
      <c r="E49" s="8" t="s">
        <v>430</v>
      </c>
      <c r="F49" s="8" t="s">
        <v>433</v>
      </c>
      <c r="G49" s="8" t="s">
        <v>441</v>
      </c>
      <c r="H49" s="9" t="s">
        <v>442</v>
      </c>
    </row>
    <row r="50" spans="1:8">
      <c r="A50" s="4" t="s">
        <v>523</v>
      </c>
      <c r="B50" s="4" t="s">
        <v>291</v>
      </c>
      <c r="C50" s="4" t="s">
        <v>144</v>
      </c>
      <c r="D50" s="4" t="s">
        <v>449</v>
      </c>
      <c r="E50" s="4" t="s">
        <v>433</v>
      </c>
      <c r="F50" s="4" t="s">
        <v>433</v>
      </c>
      <c r="G50" s="4" t="s">
        <v>27</v>
      </c>
      <c r="H50" s="5" t="s">
        <v>425</v>
      </c>
    </row>
    <row r="51" spans="1:8">
      <c r="A51" s="8" t="s">
        <v>524</v>
      </c>
      <c r="B51" s="8" t="s">
        <v>295</v>
      </c>
      <c r="C51" s="8" t="s">
        <v>354</v>
      </c>
      <c r="D51" s="8" t="s">
        <v>525</v>
      </c>
      <c r="E51" s="8" t="s">
        <v>430</v>
      </c>
      <c r="F51" s="8" t="s">
        <v>433</v>
      </c>
      <c r="G51" s="8" t="s">
        <v>441</v>
      </c>
      <c r="H51" s="9" t="s">
        <v>442</v>
      </c>
    </row>
    <row r="52" spans="1:8">
      <c r="A52" s="8" t="s">
        <v>526</v>
      </c>
      <c r="B52" s="8" t="s">
        <v>527</v>
      </c>
      <c r="C52" s="8" t="s">
        <v>102</v>
      </c>
      <c r="D52" s="8" t="s">
        <v>495</v>
      </c>
      <c r="E52" s="8" t="s">
        <v>424</v>
      </c>
      <c r="F52" s="8" t="s">
        <v>433</v>
      </c>
      <c r="G52" s="8" t="s">
        <v>441</v>
      </c>
      <c r="H52" s="9" t="s">
        <v>442</v>
      </c>
    </row>
    <row r="53" spans="1:8">
      <c r="A53" s="4" t="s">
        <v>528</v>
      </c>
      <c r="B53" s="4" t="s">
        <v>306</v>
      </c>
      <c r="C53" s="4" t="s">
        <v>307</v>
      </c>
      <c r="D53" s="4" t="s">
        <v>529</v>
      </c>
      <c r="E53" s="4" t="s">
        <v>433</v>
      </c>
      <c r="F53" s="4" t="s">
        <v>433</v>
      </c>
      <c r="G53" s="4" t="s">
        <v>27</v>
      </c>
      <c r="H53" s="5" t="s">
        <v>425</v>
      </c>
    </row>
    <row r="54" spans="1:8">
      <c r="A54" s="4" t="s">
        <v>530</v>
      </c>
      <c r="B54" s="4" t="s">
        <v>531</v>
      </c>
      <c r="C54" s="4" t="s">
        <v>311</v>
      </c>
      <c r="D54" s="4" t="s">
        <v>532</v>
      </c>
      <c r="E54" s="4" t="s">
        <v>433</v>
      </c>
      <c r="F54" s="4" t="s">
        <v>433</v>
      </c>
      <c r="G54" s="4" t="s">
        <v>27</v>
      </c>
      <c r="H54" s="5" t="s">
        <v>425</v>
      </c>
    </row>
    <row r="55" spans="1:8">
      <c r="A55" s="4" t="s">
        <v>533</v>
      </c>
      <c r="B55" s="4" t="s">
        <v>314</v>
      </c>
      <c r="C55" s="4" t="s">
        <v>342</v>
      </c>
      <c r="D55" s="4" t="s">
        <v>534</v>
      </c>
      <c r="E55" s="4" t="s">
        <v>433</v>
      </c>
      <c r="F55" s="4" t="s">
        <v>433</v>
      </c>
      <c r="G55" s="4" t="s">
        <v>27</v>
      </c>
      <c r="H55" s="5" t="s">
        <v>425</v>
      </c>
    </row>
    <row r="56" spans="1:8">
      <c r="A56" s="4" t="s">
        <v>535</v>
      </c>
      <c r="B56" s="4" t="s">
        <v>536</v>
      </c>
      <c r="C56" s="4" t="s">
        <v>507</v>
      </c>
      <c r="D56" s="4" t="s">
        <v>537</v>
      </c>
      <c r="E56" s="4" t="s">
        <v>433</v>
      </c>
      <c r="F56" s="4" t="s">
        <v>433</v>
      </c>
      <c r="G56" s="4" t="s">
        <v>27</v>
      </c>
      <c r="H56" s="5" t="s">
        <v>425</v>
      </c>
    </row>
    <row r="57" spans="1:8">
      <c r="A57" s="4" t="s">
        <v>538</v>
      </c>
      <c r="B57" s="4" t="s">
        <v>539</v>
      </c>
      <c r="C57" s="4" t="s">
        <v>206</v>
      </c>
      <c r="D57" s="4" t="s">
        <v>540</v>
      </c>
      <c r="E57" s="4" t="s">
        <v>433</v>
      </c>
      <c r="F57" s="4" t="s">
        <v>433</v>
      </c>
      <c r="G57" s="4" t="s">
        <v>27</v>
      </c>
      <c r="H57" s="5" t="s">
        <v>425</v>
      </c>
    </row>
    <row r="58" spans="1:8">
      <c r="A58" s="4" t="s">
        <v>541</v>
      </c>
      <c r="B58" s="4" t="s">
        <v>329</v>
      </c>
      <c r="C58" s="4" t="s">
        <v>102</v>
      </c>
      <c r="D58" s="4" t="s">
        <v>540</v>
      </c>
      <c r="E58" s="4" t="s">
        <v>433</v>
      </c>
      <c r="F58" s="4" t="s">
        <v>433</v>
      </c>
      <c r="G58" s="4" t="s">
        <v>27</v>
      </c>
      <c r="H58" s="5" t="s">
        <v>425</v>
      </c>
    </row>
    <row r="59" spans="1:8">
      <c r="A59" s="8" t="s">
        <v>542</v>
      </c>
      <c r="B59" s="8" t="s">
        <v>543</v>
      </c>
      <c r="C59" s="8" t="s">
        <v>102</v>
      </c>
      <c r="D59" s="8" t="s">
        <v>540</v>
      </c>
      <c r="E59" s="8" t="s">
        <v>430</v>
      </c>
      <c r="F59" s="8" t="s">
        <v>433</v>
      </c>
      <c r="G59" s="8" t="s">
        <v>441</v>
      </c>
      <c r="H59" s="9" t="s">
        <v>442</v>
      </c>
    </row>
    <row r="60" spans="1:8">
      <c r="A60" s="8" t="s">
        <v>544</v>
      </c>
      <c r="B60" s="8" t="s">
        <v>338</v>
      </c>
      <c r="C60" s="8" t="s">
        <v>102</v>
      </c>
      <c r="D60" s="8" t="s">
        <v>540</v>
      </c>
      <c r="E60" s="8" t="s">
        <v>430</v>
      </c>
      <c r="F60" s="8" t="s">
        <v>433</v>
      </c>
      <c r="G60" s="8" t="s">
        <v>441</v>
      </c>
      <c r="H60" s="9" t="s">
        <v>442</v>
      </c>
    </row>
    <row r="61" spans="1:8">
      <c r="A61" s="4" t="s">
        <v>545</v>
      </c>
      <c r="B61" s="4" t="s">
        <v>546</v>
      </c>
      <c r="C61" s="4" t="s">
        <v>342</v>
      </c>
      <c r="D61" s="4" t="s">
        <v>547</v>
      </c>
      <c r="E61" s="4" t="s">
        <v>433</v>
      </c>
      <c r="F61" s="4" t="s">
        <v>433</v>
      </c>
      <c r="G61" s="4" t="s">
        <v>27</v>
      </c>
      <c r="H61" s="5" t="s">
        <v>425</v>
      </c>
    </row>
    <row r="62" spans="1:8">
      <c r="A62" s="4" t="s">
        <v>548</v>
      </c>
      <c r="B62" s="4" t="s">
        <v>549</v>
      </c>
      <c r="C62" s="4" t="s">
        <v>311</v>
      </c>
      <c r="D62" s="4" t="s">
        <v>550</v>
      </c>
      <c r="E62" s="4" t="s">
        <v>433</v>
      </c>
      <c r="F62" s="4" t="s">
        <v>433</v>
      </c>
      <c r="G62" s="4" t="s">
        <v>27</v>
      </c>
      <c r="H62" s="5" t="s">
        <v>425</v>
      </c>
    </row>
    <row r="63" spans="1:8">
      <c r="A63" s="4" t="s">
        <v>551</v>
      </c>
      <c r="B63" s="4" t="s">
        <v>552</v>
      </c>
      <c r="C63" s="4" t="s">
        <v>311</v>
      </c>
      <c r="D63" s="4" t="s">
        <v>514</v>
      </c>
      <c r="E63" s="4" t="s">
        <v>433</v>
      </c>
      <c r="F63" s="4" t="s">
        <v>433</v>
      </c>
      <c r="G63" s="4" t="s">
        <v>27</v>
      </c>
      <c r="H63" s="5" t="s">
        <v>425</v>
      </c>
    </row>
    <row r="64" spans="1:8">
      <c r="A64" s="8" t="s">
        <v>553</v>
      </c>
      <c r="B64" s="8" t="s">
        <v>350</v>
      </c>
      <c r="C64" s="8" t="s">
        <v>178</v>
      </c>
      <c r="D64" s="8" t="s">
        <v>554</v>
      </c>
      <c r="E64" s="8" t="s">
        <v>430</v>
      </c>
      <c r="F64" s="8" t="s">
        <v>433</v>
      </c>
      <c r="G64" s="8" t="s">
        <v>441</v>
      </c>
      <c r="H64" s="9" t="s">
        <v>442</v>
      </c>
    </row>
    <row r="65" spans="1:8">
      <c r="A65" s="4" t="s">
        <v>555</v>
      </c>
      <c r="B65" s="4" t="s">
        <v>556</v>
      </c>
      <c r="C65" s="4" t="s">
        <v>354</v>
      </c>
      <c r="D65" s="4" t="s">
        <v>557</v>
      </c>
      <c r="E65" s="4" t="s">
        <v>430</v>
      </c>
      <c r="F65" s="4" t="s">
        <v>430</v>
      </c>
      <c r="G65" s="4" t="s">
        <v>27</v>
      </c>
      <c r="H65" s="5" t="s">
        <v>425</v>
      </c>
    </row>
    <row r="67" spans="1:1">
      <c r="A67" s="10" t="s">
        <v>558</v>
      </c>
    </row>
  </sheetData>
  <mergeCells count="3">
    <mergeCell ref="A1:H1"/>
    <mergeCell ref="A2:H2"/>
    <mergeCell ref="A67:H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Expanded Loads</vt:lpstr>
      <vt:lpstr>Expanded Additional Loads</vt:lpstr>
      <vt:lpstr>Trucks Info</vt:lpstr>
      <vt:lpstr>Shift Constraints</vt:lpstr>
      <vt:lpstr>Truck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Raffah</dc:creator>
  <cp:lastModifiedBy>khall</cp:lastModifiedBy>
  <dcterms:created xsi:type="dcterms:W3CDTF">2026-02-19T17:24:00Z</dcterms:created>
  <dcterms:modified xsi:type="dcterms:W3CDTF">2026-04-04T16:10:18Z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D4FAFC20522947AB85BDD47CF545466B_13</vt:lpwstr>
  </property>
  <property fmtid="{D5CDD505-2E9C-101B-9397-08002B2CF9AE}" pid="3" name="KSOProductBuildVer">
    <vt:lpwstr>1033-12.2.0.23155</vt:lpwstr>
  </property>
</Properties>
</file>